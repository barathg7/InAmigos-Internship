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ownloads\"/>
    </mc:Choice>
  </mc:AlternateContent>
  <xr:revisionPtr revIDLastSave="0" documentId="13_ncr:1_{21303B99-EBB9-4F44-BE68-6EC2432D2BCB}" xr6:coauthVersionLast="47" xr6:coauthVersionMax="47" xr10:uidLastSave="{00000000-0000-0000-0000-000000000000}"/>
  <bookViews>
    <workbookView xWindow="-108" yWindow="-108" windowWidth="23256" windowHeight="12456" xr2:uid="{00000000-000D-0000-FFFF-FFFF00000000}"/>
  </bookViews>
  <sheets>
    <sheet name="Volunteer Opportunities" sheetId="1" r:id="rId1"/>
    <sheet name="Sector Summary" sheetId="2" r:id="rId2"/>
    <sheet name="Bonus Analysis" sheetId="3" r:id="rId3"/>
  </sheets>
  <definedNames>
    <definedName name="_xlnm._FilterDatabase" localSheetId="0" hidden="1">'Volunteer Opportunities'!$A$1:$K$1</definedName>
  </definedNames>
  <calcPr calcId="191029"/>
</workbook>
</file>

<file path=xl/calcChain.xml><?xml version="1.0" encoding="utf-8"?>
<calcChain xmlns="http://schemas.openxmlformats.org/spreadsheetml/2006/main">
  <c r="C12" i="2" l="1"/>
</calcChain>
</file>

<file path=xl/sharedStrings.xml><?xml version="1.0" encoding="utf-8"?>
<sst xmlns="http://schemas.openxmlformats.org/spreadsheetml/2006/main" count="250" uniqueCount="229">
  <si>
    <t>S.No</t>
  </si>
  <si>
    <t>Organization Name</t>
  </si>
  <si>
    <t>Opportunity Type</t>
  </si>
  <si>
    <t>Program Name</t>
  </si>
  <si>
    <t>Eligibility Criteria</t>
  </si>
  <si>
    <t>Duration</t>
  </si>
  <si>
    <t>Application Deadline</t>
  </si>
  <si>
    <t>Benefits / Perks</t>
  </si>
  <si>
    <t>Mode</t>
  </si>
  <si>
    <t>Location</t>
  </si>
  <si>
    <t>Application Link</t>
  </si>
  <si>
    <t>Teach For India</t>
  </si>
  <si>
    <t>Fellowship</t>
  </si>
  <si>
    <t>Teach For India 2-Year Teaching Fellowship</t>
  </si>
  <si>
    <t>Indian citizen or OCI; any Bachelor's degree completed by June/July 2026; age 21–35 years (approx.); first-time applicants only; no prior teaching experience required</t>
  </si>
  <si>
    <t>2 years (full-time, paid)</t>
  </si>
  <si>
    <t>Rolling — July 2025 to May 2026; preferred cities fill fast, apply before February</t>
  </si>
  <si>
    <t>₹25,344/month stipend + ₹6,000–₹12,600 City Compensatory Allowance + health insurance up to ₹1,00,000 + work expense reimbursement + TFI alumni network (4,500+ members)</t>
  </si>
  <si>
    <t>Offline</t>
  </si>
  <si>
    <t>Ahmedabad, Bengaluru, Chennai, Delhi, Hyderabad, Kolkata, Mumbai, Pune</t>
  </si>
  <si>
    <t>https://apply.teachforindia.org/</t>
  </si>
  <si>
    <t>Volunteering</t>
  </si>
  <si>
    <t>TFI Volunteer Program — Classroom Teaching Support</t>
  </si>
  <si>
    <t>Age 18+ years; open to undergraduate students, graduates, and working professionals; minimum commitment of 50 hours across 4 months; no formal teaching degree required</t>
  </si>
  <si>
    <t>4 months (minimum 50 hours total; flexible scheduling)</t>
  </si>
  <si>
    <t>Rolling admissions — no fixed deadline; open year-round</t>
  </si>
  <si>
    <t>Teach For India volunteer certificate + hands-on teaching experience in low-income schools + leadership and reflective learning workshops + access to TFI community events and alumni network</t>
  </si>
  <si>
    <t>Hybrid (Online orientation + Offline classroom visits)</t>
  </si>
  <si>
    <t>Pan-India — TFI partner schools across Ahmedabad, Bengaluru, Chennai, Delhi, Hyderabad, Kolkata, Mumbai, Pune</t>
  </si>
  <si>
    <t>https://volunteer.teachforindia.org/</t>
  </si>
  <si>
    <t>SBI Foundation</t>
  </si>
  <si>
    <t>SBI Youth for India — 13-Month Rural Development Fellowship</t>
  </si>
  <si>
    <t>Indian / Nepali / Bhutanese citizen or OCI card holder; age 21–32 years on program start date; any Bachelor's degree completed by 4 October 2026; demonstrated leadership experience preferred</t>
  </si>
  <si>
    <t>13 months (full-time, residential rural posting)</t>
  </si>
  <si>
    <t>Rolling — shortlisted on ongoing basis; no fixed last date; apply early as cohort fills</t>
  </si>
  <si>
    <t>₹16,000/month stipend + ₹90,000 completion grant (paid at end) + travel &amp; project allowances + medical and personal accident insurance + hands-on NGO field experience + SBI Foundation alumni network</t>
  </si>
  <si>
    <t>Offline (Rural field posting)</t>
  </si>
  <si>
    <t>Rural India — Pan-India postings in states like Rajasthan, MP, UP, Jharkhand, Karnataka (assigned by partner NGO)</t>
  </si>
  <si>
    <t>https://register.youthforindia.org/</t>
  </si>
  <si>
    <t>Piramal Foundation</t>
  </si>
  <si>
    <t>Gandhi Fellowship — 2-Year School Transformation Program</t>
  </si>
  <si>
    <t>Graduate from any discipline; minimum 55% cumulative aggregate across Class 10, Class 12, and graduation; under 26 years of age as of 30 June 2026; no prior fellowship with Piramal; residential commitment required</t>
  </si>
  <si>
    <t>2 years (full-time, residential at project location)</t>
  </si>
  <si>
    <t>Rolling by cohort — check https://gandhifellowship.org for current batch; typically Jan–March intake</t>
  </si>
  <si>
    <t>₹24,500/month stipend (₹7,000 retained as refundable security deposit) + ₹600/month mobile allowance + shared two-wheeler + inter-city travel reimbursement + IIM Ahmedabad academic partnership + pan-India alumni network</t>
  </si>
  <si>
    <t>Offline (Fully Residential)</t>
  </si>
  <si>
    <t>Rajasthan, Gujarat, Madhya Pradesh, Jharkhand, Maharashtra — residential posting near partner government schools</t>
  </si>
  <si>
    <t>https://gandhifellowship.org/apply/</t>
  </si>
  <si>
    <t>Ashoka University</t>
  </si>
  <si>
    <t>Young India Fellowship (YIF) — PG Diploma in Liberal Studies</t>
  </si>
  <si>
    <t>Any Bachelor's degree from recognized university; no age restriction; open to Indian citizens and international students; strong academic record, diverse extracurriculars, and leadership potential required</t>
  </si>
  <si>
    <t>1 year (fully residential — 12 months on Ashoka campus)</t>
  </si>
  <si>
    <t>Applications open Oct–Jan annually; 2026–27 batch: check ashoka.edu.in/yif for exact date</t>
  </si>
  <si>
    <t>Postgraduate Diploma from Ashoka University + Chancellor's Merit Scholarship (up to 100% tuition and residence fee waiver) + 30+ interdisciplinary courses + global alumni network of 4,000+ leaders across 40+ countries</t>
  </si>
  <si>
    <t>Offline (Fully Residential — Ashoka campus)</t>
  </si>
  <si>
    <t>Ashoka University, Rajiv Gandhi Education City, Sonipat, Haryana — 131029 (45 km from Delhi)</t>
  </si>
  <si>
    <t>https://www.ashoka.edu.in/yif/</t>
  </si>
  <si>
    <t>Ministry of Skill Development &amp; IIMs</t>
  </si>
  <si>
    <t>Mahatma Gandhi National Fellowship (MGNF) — District Skill Development</t>
  </si>
  <si>
    <t>Indian citizen; age 21–30 years; minimum Bachelor's degree from recognized university; proficiency in official language of fieldwork state mandatory; no prior government employment</t>
  </si>
  <si>
    <t>2 years (IIM classroom sessions + district-level field immersion — alternating)</t>
  </si>
  <si>
    <t>Announced annually — check nimisankalp.in for 2026–27 batch notification and test dates</t>
  </si>
  <si>
    <t>₹50,000/month stipend (Year 1) + ₹60,000/month (Year 2) + IIM certificate in Public Policy &amp; Management + district-level government exposure + career pathway in public administration and development</t>
  </si>
  <si>
    <t>Hybrid (IIM campus sessions + Rural district field posting)</t>
  </si>
  <si>
    <t>9 IIMs across India (Ahmedabad, Bangalore, Calcutta, Lucknow, Kozhikode, Indore, Shillong, Ranchi, Amritsar) + district field posting</t>
  </si>
  <si>
    <t>https://www.nimisankalp.in/</t>
  </si>
  <si>
    <t>Robin Hood Army (RHA)</t>
  </si>
  <si>
    <t>Robin — Weekend Surplus Food Distribution Volunteer</t>
  </si>
  <si>
    <t>Age 16 years and above; open to students, working professionals, and homemakers; willingness to commit 3 hours every weekend; any city with active RHA chapter; no formal qualification required</t>
  </si>
  <si>
    <t>Ongoing — minimum 3 hours/week; no fixed end date</t>
  </si>
  <si>
    <t>No deadline — open year-round; join local city chapter anytime via website form</t>
  </si>
  <si>
    <t>No monetary compensation (zero-funds, zero-salary organization); social impact leadership experience; opportunity to become City Chapter Lead managing 50–500 volunteers; recognized in Harvard University case study on volunteer-led organizations</t>
  </si>
  <si>
    <t>190+ Indian cities — Delhi, Mumbai, Bengaluru, Hyderabad, Chennai, Kolkata, Pune, Jaipur, Ahmedabad, Surat, Dehradun and more</t>
  </si>
  <si>
    <t>https://robinhoodarmy.com/join-now</t>
  </si>
  <si>
    <t>Robin Hood Academy — Volunteer Teacher for Street Children</t>
  </si>
  <si>
    <t>Age 18 years and above; ability to teach basic literacy, numeracy, or life skills; weekend availability for 2–3 hours/week; no formal teaching degree required; compassion and patience essential</t>
  </si>
  <si>
    <t>Ongoing — weekly sessions (2–3 hours per week); no fixed end date</t>
  </si>
  <si>
    <t>No deadline — open year-round; contact local RHA city chapter via website</t>
  </si>
  <si>
    <t>No monetary compensation; real classroom teaching experience with street children aged 5–14; social impact and community leadership development; opportunity to run a learning centre independently</t>
  </si>
  <si>
    <t>Delhi, Mumbai, Bengaluru, Hyderabad, Chennai, Kolkata and other RHA cities</t>
  </si>
  <si>
    <t>Government of India — MCA</t>
  </si>
  <si>
    <t>Internship</t>
  </si>
  <si>
    <t>PM Internship Scheme — 12-Month Corporate CSR Internship</t>
  </si>
  <si>
    <t>Indian citizen; age 21–24 years; education: Class 10/12 pass, ITI certificate, polytechnic diploma, or any graduation (BA, B.Sc, B.Com, BBA, BCA, B.Pharma etc.); annual family income below ₹8 lakh; not in full-time employment or full-time education; no immediate family member in government job; IIT/IIM/NLU graduates NOT eligible</t>
  </si>
  <si>
    <t>12 months (full-time at company location)</t>
  </si>
  <si>
    <t>Rolling cohorts — Phase 1: Oct–Dec 2024 (82,000 selected); Phase 2: Jan 2025 onwards; check pminternship.mca.gov.in for next cycle</t>
  </si>
  <si>
    <t>₹5,000/month stipend (₹4,500 from Govt. via DBT + ₹500 from company) + ₹6,000 one-time joining grant + free insurance under PM Jeevan Jyoti &amp; PM Suraksha Bima Yojana + completion certificate from company + placement with Top 500 Indian companies</t>
  </si>
  <si>
    <t>Offline (at company location)</t>
  </si>
  <si>
    <t>Pan-India — placements across all states with Top 500 Indian companies including Reliance, L&amp;T, Infosys, Tata Group, HDFC Bank etc.</t>
  </si>
  <si>
    <t>https://pminternship.mca.gov.in/</t>
  </si>
  <si>
    <t>UNICEF India</t>
  </si>
  <si>
    <t>UNICEF India Country Office Internship — Child Rights &amp; Development</t>
  </si>
  <si>
    <t>Age 18 years and above; currently enrolled in UG, PG, or PhD program OR graduated within the last 24 months; proficiency in English (UNICEF working language); background in child rights, public health, communications, education, or development studies</t>
  </si>
  <si>
    <t>6–26 weeks (full-time 35 hrs/week or part-time; agreed with supervising UNICEF officer)</t>
  </si>
  <si>
    <t>Rolling — positions posted on careers portal throughout year; check unicef.org/careers for live openings</t>
  </si>
  <si>
    <t>Monthly stipend (up to ₹1.25 lakh/month for senior roles; varies by position) + one-time travel/visa lump sum (subject to funding) + official UNICEF internship certificate + direct mentorship from UNICEF program officers + international humanitarian sector exposure</t>
  </si>
  <si>
    <t>Hybrid (Online + UNICEF India office)</t>
  </si>
  <si>
    <t>UNICEF India Country Office, 73 Lodi Estate, New Delhi — 110003; some roles allow remote work</t>
  </si>
  <si>
    <t>https://www.unicef.org/india/careers</t>
  </si>
  <si>
    <t>Pratham Education Foundation</t>
  </si>
  <si>
    <t>Read India — Foundational Literacy &amp; Numeracy Field Volunteer</t>
  </si>
  <si>
    <t>Age 18 years and above; undergraduate or graduate students preferred; ability to communicate in Hindi or at least one regional language (Bengali, Marathi, Gujarati etc.); willingness to travel to community locations; minimum 1 month commitment</t>
  </si>
  <si>
    <t>Flexible — minimum 1 month; seasonal summer program runs 6–8 weeks (May–June)</t>
  </si>
  <si>
    <t>Rolling; seasonal summer programs: apply by April 30 each year</t>
  </si>
  <si>
    <t>Field volunteer certificate from Pratham + hands-on rural/urban community teaching experience + reference letter on request from field coordinator + exposure to India's largest education NGO serving 75 million+ children</t>
  </si>
  <si>
    <t>Offline / Hybrid</t>
  </si>
  <si>
    <t>Delhi, Mumbai, Rajasthan (Jaipur, Jodhpur), Bihar (Patna), Uttar Pradesh, Madhya Pradesh — field posting at community locations</t>
  </si>
  <si>
    <t>https://www.pratham.org/get-involved/volunteer/</t>
  </si>
  <si>
    <t>CRY — Child Rights and You</t>
  </si>
  <si>
    <t>CRY Student Internship — Policy, Advocacy &amp; Field Research</t>
  </si>
  <si>
    <t>3rd year UG students or PG students; disciplines: social work, law, public policy, communications, journalism, development studies; strong written and verbal communication in English; available for 2–3 months full-time or part-time</t>
  </si>
  <si>
    <t>2–3 months (Summer batch: May–July; Winter batch: Dec–Feb)</t>
  </si>
  <si>
    <t>Summer batch: Apply by 31 March; Winter batch: Apply by 31 October (approximately — check website)</t>
  </si>
  <si>
    <t>Official CRY internship certificate + exposure to child rights policy, field advocacy, and NGO operations + stipend for select roles (varies) + reference letter from supervisor + networking with CRY professionals across 5 cities</t>
  </si>
  <si>
    <t>Hybrid (Online team meetings + Office/Field visits)</t>
  </si>
  <si>
    <t>Delhi, Mumbai, Kolkata, Chennai, Bengaluru (city preference considered at application)</t>
  </si>
  <si>
    <t>https://www.cry.org/get-involved/intern-with-cry/</t>
  </si>
  <si>
    <t>Goonj</t>
  </si>
  <si>
    <t>Goonj City Chapter Volunteer — Material Sorting &amp; Community Distribution</t>
  </si>
  <si>
    <t>Age 18 years and above; open to undergraduate students, graduates, and working professionals; interest in grassroots social work; weekend availability for sorting and distribution drives; minimum 3-month commitment recommended</t>
  </si>
  <si>
    <t>Ongoing — project-based; minimum 3 months recommended for meaningful experience</t>
  </si>
  <si>
    <t>Rolling — no fixed deadline; join local city chapter anytime by filling the form on goonj.org</t>
  </si>
  <si>
    <t>Volunteer certificate from Goonj + hands-on urban-to-rural redistribution experience across 23+ states + community leadership training + opportunity to become City Chapter Coordinator managing drives independently + Goonj alumni network</t>
  </si>
  <si>
    <t>Delhi, Mumbai, Bengaluru, Hyderabad, Pune, Chennai, Kolkata, Ahmedabad + 23+ states Pan-India</t>
  </si>
  <si>
    <t>https://goonj.org/join-us/</t>
  </si>
  <si>
    <t>iCall — TISS Mumbai</t>
  </si>
  <si>
    <t>iCall Psychological Counselling Helpline — Academic Internship</t>
  </si>
  <si>
    <t>Currently enrolled in MA Clinical Psychology, MSc Psychology, MSW (Psychiatric Social Work), or equivalent accredited PG mental health program; must have university approval for internship credit hours; Mumbai-based or willing to relocate for duration</t>
  </si>
  <si>
    <t>3–6 months (full-time; clinical hours count toward university degree requirement)</t>
  </si>
  <si>
    <t>Summer batch: Apply by 30 April; Winter batch: Apply by 31 October (approximately — confirm via icallhelpline.org)</t>
  </si>
  <si>
    <t>Supervised clinical counselling hours valid for university degree requirements + official internship certificate from iCall / TISS + mentorship from licensed TISS clinical faculty + exposure to diverse mental health cases (depression, anxiety, trauma, crisis) via helpline</t>
  </si>
  <si>
    <t>iCall Centre, TISS Main Campus, Deonar, Mumbai, Maharashtra — 400088</t>
  </si>
  <si>
    <t>https://icallhelpline.org/get-involved/</t>
  </si>
  <si>
    <t>Smile Foundation</t>
  </si>
  <si>
    <t>Smile Twin e-Learning Program — Digital Literacy Volunteer Teacher</t>
  </si>
  <si>
    <t>Age 18 years and above; undergraduate or graduate students or working professionals; basic computer and digital literacy skills; ability to teach children aged 8–16 years; minimum 3-month commitment; Hindi or regional language helpful</t>
  </si>
  <si>
    <t>3–12 months (flexible weekly schedule; 2–4 hours/week minimum)</t>
  </si>
  <si>
    <t>Rolling — no fixed deadline; apply anytime via smilefoundationindia.org</t>
  </si>
  <si>
    <t>Volunteer certificate from Smile Foundation + digital teaching experience with underprivileged children across 600+ villages and urban slums + recommendation letter on request + exposure to last-mile education delivery across 25 states</t>
  </si>
  <si>
    <t>Hybrid (Online video sessions + occasional community field visits)</t>
  </si>
  <si>
    <t>Pan-India — 600+ villages and urban slums across 25 states; remote online teaching available</t>
  </si>
  <si>
    <t>https://www.smilefoundationindia.org/join-us/</t>
  </si>
  <si>
    <t>Doctors For You (DFY)</t>
  </si>
  <si>
    <t>DFY Community Health Field Internship — Primary &amp; Disaster Healthcare</t>
  </si>
  <si>
    <t>MBBS students (internship/final year), nursing graduates, or MPH / public health postgraduates; willingness to work in remote, underserved or disaster-affected communities for full duration; physically fit; no clinical specialization required</t>
  </si>
  <si>
    <t>1–3 months (full-time, field posting in remote locations)</t>
  </si>
  <si>
    <t>Rolling — no fixed deadline; email or apply directly via doctorsforyou.org; immediate placements sometimes available post-disaster</t>
  </si>
  <si>
    <t>Field medical training certificate from DFY + disaster medicine and emergency response exposure + primary healthcare community experience + mentorship from senior DFY field doctors + strong profile value for public health, global health, and MPH admissions</t>
  </si>
  <si>
    <t>Offline (Remote field posting)</t>
  </si>
  <si>
    <t>Maharashtra, Madhya Pradesh, Chhattisgarh, Bihar — remote districts and disaster-affected areas as assigned</t>
  </si>
  <si>
    <t>https://www.doctorsforyou.org/get-involved/</t>
  </si>
  <si>
    <t>United Nations Volunteers (UNV)</t>
  </si>
  <si>
    <t>Online Volunteering</t>
  </si>
  <si>
    <t>UN Online Volunteering — Research, Design, Translation &amp; Communications</t>
  </si>
  <si>
    <t>Age 18 years and above; any nationality including Indian students; each assignment specifies required skill (research, graphic design, web development, content writing, data analysis, translation etc.); English proficiency required; UN language skills (French/Spanish) an advantage</t>
  </si>
  <si>
    <t>1–6 months per assignment (part-time; flexible hours agreed with UN supervisor)</t>
  </si>
  <si>
    <t>Rolling — new assignments posted weekly on onlinevolunteering.org; no single deadline; apply per assignment</t>
  </si>
  <si>
    <t>Official UN Online Volunteer digital certificate + UN-recognized volunteer profile on global platform + international exposure to UN programs + professional portfolio building + LinkedIn endorsement from UN supervisor + access to global UN volunteer network</t>
  </si>
  <si>
    <t>Online (Fully Remote — work from anywhere in India)</t>
  </si>
  <si>
    <t>Remote — all work done online; open to volunteers based anywhere in India</t>
  </si>
  <si>
    <t>https://www.onlinevolunteering.org/en</t>
  </si>
  <si>
    <t>Navdanya Foundation (Dr. Vandana Shiva)</t>
  </si>
  <si>
    <t>Internship / Volunteer</t>
  </si>
  <si>
    <t>Bija Vidyapeeth Earth University — Seed Sovereignty &amp; Organic Farming Residential Program</t>
  </si>
  <si>
    <t>Age 18 years and above; open to all — students, researchers, farmers, and sustainability professionals; interest in organic farming, seed conservation, agro-ecology, or food sovereignty; no prior agricultural experience required; residential stay mandatory</t>
  </si>
  <si>
    <t>1–4 weeks (short residential programs; semester-long programs also available on request)</t>
  </si>
  <si>
    <t>Rolling — programs announced throughout year; check navdanya.org/earth-university for upcoming batch dates</t>
  </si>
  <si>
    <t>Hands-on organic farming and seed conservation training + certificate of participation from Navdanya + food and basic accommodation included in select programs + access to India's largest seed bank with 5,000+ seed varieties + exposure to Dr. Vandana Shiva's global Bija (seed) movement</t>
  </si>
  <si>
    <t>Offline (Fully Residential — on-farm stay)</t>
  </si>
  <si>
    <t>Navdanya Biodiversity Conservation Farm, Ramgarh Village, Dehradun, Uttarakhand — 248001</t>
  </si>
  <si>
    <t>https://navdanya.org/earth-university/</t>
  </si>
  <si>
    <t>Sector</t>
  </si>
  <si>
    <t>Count</t>
  </si>
  <si>
    <t>Programs Included</t>
  </si>
  <si>
    <t>Education &amp; Teaching</t>
  </si>
  <si>
    <t>TFI Fellowship, TFI Volunteer Program, Pratham Read India</t>
  </si>
  <si>
    <t>Rural Development Fellowship</t>
  </si>
  <si>
    <t>SBI Youth for India, Gandhi Fellowship (Piramal), MGNF (IIM-backed)</t>
  </si>
  <si>
    <t>Liberal Education &amp; Leadership</t>
  </si>
  <si>
    <t>Young India Fellowship — Ashoka University</t>
  </si>
  <si>
    <t>Food &amp; Hunger Relief</t>
  </si>
  <si>
    <t>Robin Hood Army Food Drive, Robin Hood Academy Teaching</t>
  </si>
  <si>
    <t>Child Rights &amp; Social Work</t>
  </si>
  <si>
    <t>CRY Internship, Goonj City Chapter Volunteer</t>
  </si>
  <si>
    <t>Healthcare &amp; Mental Health</t>
  </si>
  <si>
    <t>Doctors For You Field Internship, iCall TISS Helpline Internship</t>
  </si>
  <si>
    <t>Environment &amp; Sustainable Agriculture</t>
  </si>
  <si>
    <t>Navdanya Bija Vidyapeeth Earth University</t>
  </si>
  <si>
    <t>Government National Programs</t>
  </si>
  <si>
    <t>PM Internship Scheme (MCA), MGNF (Ministry of Skill Dev.)</t>
  </si>
  <si>
    <t>Digital Literacy &amp; Child Welfare</t>
  </si>
  <si>
    <t>Smile Foundation Twin e-Learning, UNICEF India Internship</t>
  </si>
  <si>
    <t>International / UN</t>
  </si>
  <si>
    <t>UN Online Volunteering (UNV)</t>
  </si>
  <si>
    <t>TOTAL</t>
  </si>
  <si>
    <t>18 verified opportunities across 10 sectors</t>
  </si>
  <si>
    <t>Analysis Area</t>
  </si>
  <si>
    <t>Detailed Findings (AI-Assisted Research)</t>
  </si>
  <si>
    <t>SECTION 1 — Common Challenges Faced by NGOs</t>
  </si>
  <si>
    <t>1. High Volunteer Dropout Rate (40–60% within 3 months)</t>
  </si>
  <si>
    <t>Research across Indian NGOs shows that 40–60% of volunteers disengage within their first 3 months. Root causes: unclear role expectations at onboarding, no feedback loop showing personal impact, and absence of recognition systems. Robin Hood Army addresses this uniquely through a community ownership model where volunteers self-manage city chapters — producing 250,000+ consistently active volunteers globally.</t>
  </si>
  <si>
    <t>2. Funding Instability &amp; CSR Dependence</t>
  </si>
  <si>
    <t>Gandhi Fellowship (Piramal) and SBI Youth for India depend on corporate CSR allocations under the Companies Act, 2013. When companies cut budgets or restructure CSR priorities, fellowship batch sizes and timelines are directly impacted. This has led to delays in past Gandhi Fellowship cohorts. Diversified funding (govt. + CSR + individual donors) is now considered essential for program stability.</t>
  </si>
  <si>
    <t>3. Rural Last-Mile Delivery</t>
  </si>
  <si>
    <t>Programs placing fellows in rural India (SBI YFI, Gandhi Fellowship, DFY, Navdanya) face poor internet connectivity (only 34% rural broadband penetration as per TRAI 2024), irregular transportation, and language barriers. SBI YFI addresses this by pairing fellows with established NGO partners who have pre-existing community trust and local infrastructure.</t>
  </si>
  <si>
    <t>4. Skill-Opportunity Mismatch</t>
  </si>
  <si>
    <t>Competitive fellowships like TFI, YIF, and MGNF report that 60–70% of applicants lack either the communication skills or the leadership mindset needed for their programs. Multi-stage selection processes (sample teaching, group exercises, essays, personal interviews) are now standard practice to filter for genuine commitment and capability rather than just academic performance.</t>
  </si>
  <si>
    <t>5. Limited Paid Opportunities</t>
  </si>
  <si>
    <t>Only 6 of the 18 opportunities listed offer a meaningful monthly stipend: MGNF ₹50,000–₹60,000/month; TFI ₹25,344/month; Gandhi Fellowship ₹24,500/month; SBI YFI ₹16,000/month; UNICEF (up to ₹1.25 lakh/month for senior roles); PM Internship ₹5,000/month. The remaining 12 are unpaid — limiting access for students from lower-income households who cannot afford to volunteer full-time.</t>
  </si>
  <si>
    <t>SECTION 2 — Similarities Across Programs</t>
  </si>
  <si>
    <t>All 18 programs align with UN Sustainable Development Goals</t>
  </si>
  <si>
    <t>SDG 4 (Quality Education): TFI, Pratham, Smile Foundation, CRY | SDG 3 (Good Health): DFY, iCall TISS, UNICEF | SDG 2 (Zero Hunger): Robin Hood Army | SDG 10 (Reduced Inequalities): Goonj, Gandhi Fellowship, SBI YFI | SDG 15 (Life on Land): Navdanya | SDG 16 (Peace &amp; Justice): UNICEF, CRY | SDG 8 (Decent Work): PM Internship, MGNF</t>
  </si>
  <si>
    <t>Certificates and recognition are near-universal</t>
  </si>
  <si>
    <t>16 of 18 programs offer a formal certificate or official recognition. Exceptions: Robin Hood Army (intentionally avoids certificates to keep mission-first culture). Employers, B-school admission panels, and public sector organizations increasingly value these certificates as evidence of leadership capacity and social sector exposure.</t>
  </si>
  <si>
    <t>Post-COVID hybrid/online models now standard</t>
  </si>
  <si>
    <t>At least 9 of 18 programs now offer hybrid or fully online participation modes — a structural shift since 2020. UN Online Volunteering, TFI Volunteer Program, CRY Internship, UNICEF India, iCall TISS (partial), Smile Foundation, and Pratham (seasonal online) have all adapted to remote formats, making opportunities accessible to students in Tier 2 and Tier 3 cities for the first time.</t>
  </si>
  <si>
    <t>Strong alumni ecosystems as long-term assets</t>
  </si>
  <si>
    <t>TFI: 4,500+ alumni reaching 50M+ children | YIF (Ashoka): 4,000+ alumni in 40+ countries, includes Schwarzman Scholars and UKRI PhD students | Gandhi Fellowship: Pan-India alumni across policy, entrepreneurship, and education | SBI YFI: 1,000+ alumni with 50+ social enterprise founders | MGNF: alumni placed across 113 districts in 27 states</t>
  </si>
  <si>
    <t>SECTION 3 — Sectors with Highest NGO Participation in India</t>
  </si>
  <si>
    <t>1. Education — 55%+ of 3.3 million registered NGOs</t>
  </si>
  <si>
    <t>India's education sector dominates NGO presence by a wide margin. Pratham has reached 75M+ children across 21 states. Teach For India's 900+ active Fellows teach 33,000 children annually. Government programs like NEP 2020, NIPUN Bharat, and PM POSHAN have accelerated NGO-school partnerships, creating thousands of volunteering and internship entry points for students.</t>
  </si>
  <si>
    <t>2. Healthcare — approximately 22% of NGOs</t>
  </si>
  <si>
    <t>Post-COVID-19, mental health NGOs (iCall TISS, Vandrevala Foundation) and rural primary healthcare NGOs (DFY, Jan Swasthya Sahyog) have expanded rapidly. India's doctor-to-population ratio of 1:834 (WHO recommends 1:1,000) means NGO healthcare workers fill a genuine structural gap. This sector is projected to grow fastest over the next decade.</t>
  </si>
  <si>
    <t>3. Women Empowerment — approximately 18% of NGOs</t>
  </si>
  <si>
    <t>Flagship government schemes (Beti Bachao Beti Padhao, PM Matru Vandana Yojana, POSHAN Abhiyaan) have incentivized NGO entry into women's empowerment. SEWA (Self-Employed Women's Association) has 2M+ members across 17 states. CRY operates across 19 states. This sector offers the highest number of entry-level internship and volunteer positions for social work students.</t>
  </si>
  <si>
    <t>4. Environment &amp; Sustainability — approximately 8% of NGOs</t>
  </si>
  <si>
    <t>Navdanya (seed conservation, 5,000+ seed varieties preserved), Wildlife SOS (wildlife rescue), and newer youth-led climate NGOs represent India's environmental sector. Youth environmental volunteering surged after India's 2070 net-zero commitment and the rise of Fridays for Future. India's government target of 500 GW renewable energy by 2030 is creating new NGO-government collaboration opportunities.</t>
  </si>
  <si>
    <t>5. Food Security &amp; Hunger Relief — approximately 5% of NGOs</t>
  </si>
  <si>
    <t>Fewer large organizations operate in this space compared to education. Robin Hood Army's zero-funds model — 250,000+ volunteers, 118M+ meals served, 190+ cities, 15 countries — is studied by Harvard Business School as a benchmark for volunteer-led scaling without financial resources. Akshaya Patra (mid-day meals to 2M+ school children daily) and No Food Waste represent other models in this space.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</si>
</sst>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Calibri"/>
    </font>
    <font>
      <sz val="9"/>
      <name val="Calibri"/>
    </font>
    <font>
      <sz val="10"/>
      <color rgb="FF111111"/>
      <name val="Calibri"/>
    </font>
  </fonts>
  <fills count="6">
    <fill>
      <patternFill patternType="none"/>
    </fill>
    <fill>
      <patternFill patternType="gray125"/>
    </fill>
    <fill>
      <patternFill patternType="solid">
        <fgColor rgb="FF1F4E79"/>
      </patternFill>
    </fill>
    <fill>
      <patternFill patternType="solid">
        <fgColor theme="8" tint="0.79998168889431442"/>
        <bgColor indexed="64"/>
      </patternFill>
    </fill>
    <fill>
      <patternFill patternType="solid">
        <fgColor theme="3" tint="-0.249977111117893"/>
        <bgColor indexed="64"/>
      </patternFill>
    </fill>
    <fill>
      <patternFill patternType="solid">
        <fgColor theme="8" tint="-0.249977111117893"/>
        <bgColor indexed="64"/>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1" fillId="4"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1" fillId="5" borderId="2" xfId="0" applyFont="1" applyFill="1" applyBorder="1" applyAlignment="1">
      <alignment horizontal="left" vertical="center" wrapText="1"/>
    </xf>
    <xf numFmtId="0" fontId="3" fillId="3"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abSelected="1" workbookViewId="0">
      <pane ySplit="1" topLeftCell="A2" activePane="bottomLeft" state="frozen"/>
      <selection pane="bottomLeft"/>
    </sheetView>
  </sheetViews>
  <sheetFormatPr defaultRowHeight="14.4" x14ac:dyDescent="0.3"/>
  <cols>
    <col min="1" max="1" width="4" customWidth="1"/>
    <col min="2" max="2" width="20" customWidth="1"/>
    <col min="3" max="3" width="17" customWidth="1"/>
    <col min="4" max="4" width="30" customWidth="1"/>
    <col min="5" max="5" width="44" customWidth="1"/>
    <col min="6" max="6" width="18" customWidth="1"/>
    <col min="7" max="7" width="30" customWidth="1"/>
    <col min="8" max="8" width="52" customWidth="1"/>
    <col min="9" max="9" width="12" customWidth="1"/>
    <col min="10" max="10" width="36" customWidth="1"/>
    <col min="11" max="11" width="40" customWidth="1"/>
  </cols>
  <sheetData>
    <row r="1" spans="1:11" ht="36" customHeight="1" x14ac:dyDescent="0.3">
      <c r="A1" s="5" t="s">
        <v>0</v>
      </c>
      <c r="B1" s="5" t="s">
        <v>1</v>
      </c>
      <c r="C1" s="5" t="s">
        <v>2</v>
      </c>
      <c r="D1" s="5" t="s">
        <v>3</v>
      </c>
      <c r="E1" s="5" t="s">
        <v>4</v>
      </c>
      <c r="F1" s="5" t="s">
        <v>5</v>
      </c>
      <c r="G1" s="5" t="s">
        <v>6</v>
      </c>
      <c r="H1" s="5" t="s">
        <v>7</v>
      </c>
      <c r="I1" s="5" t="s">
        <v>8</v>
      </c>
      <c r="J1" s="5" t="s">
        <v>9</v>
      </c>
      <c r="K1" s="5" t="s">
        <v>10</v>
      </c>
    </row>
    <row r="2" spans="1:11" ht="79.95" customHeight="1" x14ac:dyDescent="0.3">
      <c r="A2" s="3">
        <v>1</v>
      </c>
      <c r="B2" s="4" t="s">
        <v>11</v>
      </c>
      <c r="C2" s="4" t="s">
        <v>12</v>
      </c>
      <c r="D2" s="4" t="s">
        <v>13</v>
      </c>
      <c r="E2" s="4" t="s">
        <v>14</v>
      </c>
      <c r="F2" s="3" t="s">
        <v>15</v>
      </c>
      <c r="G2" s="4" t="s">
        <v>16</v>
      </c>
      <c r="H2" s="4" t="s">
        <v>17</v>
      </c>
      <c r="I2" s="3" t="s">
        <v>18</v>
      </c>
      <c r="J2" s="4" t="s">
        <v>19</v>
      </c>
      <c r="K2" s="4" t="s">
        <v>20</v>
      </c>
    </row>
    <row r="3" spans="1:11" ht="79.95" customHeight="1" x14ac:dyDescent="0.3">
      <c r="A3" s="3">
        <v>2</v>
      </c>
      <c r="B3" s="4" t="s">
        <v>11</v>
      </c>
      <c r="C3" s="4" t="s">
        <v>21</v>
      </c>
      <c r="D3" s="4" t="s">
        <v>22</v>
      </c>
      <c r="E3" s="4" t="s">
        <v>23</v>
      </c>
      <c r="F3" s="3" t="s">
        <v>24</v>
      </c>
      <c r="G3" s="4" t="s">
        <v>25</v>
      </c>
      <c r="H3" s="4" t="s">
        <v>26</v>
      </c>
      <c r="I3" s="3" t="s">
        <v>27</v>
      </c>
      <c r="J3" s="4" t="s">
        <v>28</v>
      </c>
      <c r="K3" s="4" t="s">
        <v>29</v>
      </c>
    </row>
    <row r="4" spans="1:11" ht="79.95" customHeight="1" x14ac:dyDescent="0.3">
      <c r="A4" s="3">
        <v>3</v>
      </c>
      <c r="B4" s="4" t="s">
        <v>30</v>
      </c>
      <c r="C4" s="4" t="s">
        <v>12</v>
      </c>
      <c r="D4" s="4" t="s">
        <v>31</v>
      </c>
      <c r="E4" s="4" t="s">
        <v>32</v>
      </c>
      <c r="F4" s="3" t="s">
        <v>33</v>
      </c>
      <c r="G4" s="4" t="s">
        <v>34</v>
      </c>
      <c r="H4" s="4" t="s">
        <v>35</v>
      </c>
      <c r="I4" s="3" t="s">
        <v>36</v>
      </c>
      <c r="J4" s="4" t="s">
        <v>37</v>
      </c>
      <c r="K4" s="4" t="s">
        <v>38</v>
      </c>
    </row>
    <row r="5" spans="1:11" ht="79.95" customHeight="1" x14ac:dyDescent="0.3">
      <c r="A5" s="3">
        <v>4</v>
      </c>
      <c r="B5" s="4" t="s">
        <v>39</v>
      </c>
      <c r="C5" s="4" t="s">
        <v>12</v>
      </c>
      <c r="D5" s="4" t="s">
        <v>40</v>
      </c>
      <c r="E5" s="4" t="s">
        <v>41</v>
      </c>
      <c r="F5" s="3" t="s">
        <v>42</v>
      </c>
      <c r="G5" s="4" t="s">
        <v>43</v>
      </c>
      <c r="H5" s="4" t="s">
        <v>44</v>
      </c>
      <c r="I5" s="3" t="s">
        <v>45</v>
      </c>
      <c r="J5" s="4" t="s">
        <v>46</v>
      </c>
      <c r="K5" s="4" t="s">
        <v>47</v>
      </c>
    </row>
    <row r="6" spans="1:11" ht="79.95" customHeight="1" x14ac:dyDescent="0.3">
      <c r="A6" s="3">
        <v>5</v>
      </c>
      <c r="B6" s="4" t="s">
        <v>48</v>
      </c>
      <c r="C6" s="4" t="s">
        <v>12</v>
      </c>
      <c r="D6" s="4" t="s">
        <v>49</v>
      </c>
      <c r="E6" s="4" t="s">
        <v>50</v>
      </c>
      <c r="F6" s="3" t="s">
        <v>51</v>
      </c>
      <c r="G6" s="4" t="s">
        <v>52</v>
      </c>
      <c r="H6" s="4" t="s">
        <v>53</v>
      </c>
      <c r="I6" s="3" t="s">
        <v>54</v>
      </c>
      <c r="J6" s="4" t="s">
        <v>55</v>
      </c>
      <c r="K6" s="4" t="s">
        <v>56</v>
      </c>
    </row>
    <row r="7" spans="1:11" ht="79.95" customHeight="1" x14ac:dyDescent="0.3">
      <c r="A7" s="3">
        <v>6</v>
      </c>
      <c r="B7" s="4" t="s">
        <v>57</v>
      </c>
      <c r="C7" s="4" t="s">
        <v>12</v>
      </c>
      <c r="D7" s="4" t="s">
        <v>58</v>
      </c>
      <c r="E7" s="4" t="s">
        <v>59</v>
      </c>
      <c r="F7" s="3" t="s">
        <v>60</v>
      </c>
      <c r="G7" s="4" t="s">
        <v>61</v>
      </c>
      <c r="H7" s="4" t="s">
        <v>62</v>
      </c>
      <c r="I7" s="3" t="s">
        <v>63</v>
      </c>
      <c r="J7" s="4" t="s">
        <v>64</v>
      </c>
      <c r="K7" s="4" t="s">
        <v>65</v>
      </c>
    </row>
    <row r="8" spans="1:11" ht="79.95" customHeight="1" x14ac:dyDescent="0.3">
      <c r="A8" s="3">
        <v>7</v>
      </c>
      <c r="B8" s="4" t="s">
        <v>66</v>
      </c>
      <c r="C8" s="4" t="s">
        <v>21</v>
      </c>
      <c r="D8" s="4" t="s">
        <v>67</v>
      </c>
      <c r="E8" s="4" t="s">
        <v>68</v>
      </c>
      <c r="F8" s="3" t="s">
        <v>69</v>
      </c>
      <c r="G8" s="4" t="s">
        <v>70</v>
      </c>
      <c r="H8" s="4" t="s">
        <v>71</v>
      </c>
      <c r="I8" s="3" t="s">
        <v>18</v>
      </c>
      <c r="J8" s="4" t="s">
        <v>72</v>
      </c>
      <c r="K8" s="4" t="s">
        <v>73</v>
      </c>
    </row>
    <row r="9" spans="1:11" ht="79.95" customHeight="1" x14ac:dyDescent="0.3">
      <c r="A9" s="3">
        <v>8</v>
      </c>
      <c r="B9" s="4" t="s">
        <v>66</v>
      </c>
      <c r="C9" s="4" t="s">
        <v>21</v>
      </c>
      <c r="D9" s="4" t="s">
        <v>74</v>
      </c>
      <c r="E9" s="4" t="s">
        <v>75</v>
      </c>
      <c r="F9" s="3" t="s">
        <v>76</v>
      </c>
      <c r="G9" s="4" t="s">
        <v>77</v>
      </c>
      <c r="H9" s="4" t="s">
        <v>78</v>
      </c>
      <c r="I9" s="3" t="s">
        <v>18</v>
      </c>
      <c r="J9" s="4" t="s">
        <v>79</v>
      </c>
      <c r="K9" s="4" t="s">
        <v>73</v>
      </c>
    </row>
    <row r="10" spans="1:11" ht="79.95" customHeight="1" x14ac:dyDescent="0.3">
      <c r="A10" s="3">
        <v>9</v>
      </c>
      <c r="B10" s="4" t="s">
        <v>80</v>
      </c>
      <c r="C10" s="4" t="s">
        <v>81</v>
      </c>
      <c r="D10" s="4" t="s">
        <v>82</v>
      </c>
      <c r="E10" s="4" t="s">
        <v>83</v>
      </c>
      <c r="F10" s="3" t="s">
        <v>84</v>
      </c>
      <c r="G10" s="4" t="s">
        <v>85</v>
      </c>
      <c r="H10" s="4" t="s">
        <v>86</v>
      </c>
      <c r="I10" s="3" t="s">
        <v>87</v>
      </c>
      <c r="J10" s="4" t="s">
        <v>88</v>
      </c>
      <c r="K10" s="4" t="s">
        <v>89</v>
      </c>
    </row>
    <row r="11" spans="1:11" ht="79.95" customHeight="1" x14ac:dyDescent="0.3">
      <c r="A11" s="3">
        <v>10</v>
      </c>
      <c r="B11" s="4" t="s">
        <v>90</v>
      </c>
      <c r="C11" s="4" t="s">
        <v>81</v>
      </c>
      <c r="D11" s="4" t="s">
        <v>91</v>
      </c>
      <c r="E11" s="4" t="s">
        <v>92</v>
      </c>
      <c r="F11" s="3" t="s">
        <v>93</v>
      </c>
      <c r="G11" s="4" t="s">
        <v>94</v>
      </c>
      <c r="H11" s="4" t="s">
        <v>95</v>
      </c>
      <c r="I11" s="3" t="s">
        <v>96</v>
      </c>
      <c r="J11" s="4" t="s">
        <v>97</v>
      </c>
      <c r="K11" s="4" t="s">
        <v>98</v>
      </c>
    </row>
    <row r="12" spans="1:11" ht="79.95" customHeight="1" x14ac:dyDescent="0.3">
      <c r="A12" s="3">
        <v>11</v>
      </c>
      <c r="B12" s="4" t="s">
        <v>99</v>
      </c>
      <c r="C12" s="4" t="s">
        <v>21</v>
      </c>
      <c r="D12" s="4" t="s">
        <v>100</v>
      </c>
      <c r="E12" s="4" t="s">
        <v>101</v>
      </c>
      <c r="F12" s="3" t="s">
        <v>102</v>
      </c>
      <c r="G12" s="4" t="s">
        <v>103</v>
      </c>
      <c r="H12" s="4" t="s">
        <v>104</v>
      </c>
      <c r="I12" s="3" t="s">
        <v>105</v>
      </c>
      <c r="J12" s="4" t="s">
        <v>106</v>
      </c>
      <c r="K12" s="4" t="s">
        <v>107</v>
      </c>
    </row>
    <row r="13" spans="1:11" ht="79.95" customHeight="1" x14ac:dyDescent="0.3">
      <c r="A13" s="3">
        <v>12</v>
      </c>
      <c r="B13" s="4" t="s">
        <v>108</v>
      </c>
      <c r="C13" s="4" t="s">
        <v>81</v>
      </c>
      <c r="D13" s="4" t="s">
        <v>109</v>
      </c>
      <c r="E13" s="4" t="s">
        <v>110</v>
      </c>
      <c r="F13" s="3" t="s">
        <v>111</v>
      </c>
      <c r="G13" s="4" t="s">
        <v>112</v>
      </c>
      <c r="H13" s="4" t="s">
        <v>113</v>
      </c>
      <c r="I13" s="3" t="s">
        <v>114</v>
      </c>
      <c r="J13" s="4" t="s">
        <v>115</v>
      </c>
      <c r="K13" s="4" t="s">
        <v>116</v>
      </c>
    </row>
    <row r="14" spans="1:11" ht="79.95" customHeight="1" x14ac:dyDescent="0.3">
      <c r="A14" s="3">
        <v>13</v>
      </c>
      <c r="B14" s="4" t="s">
        <v>117</v>
      </c>
      <c r="C14" s="4" t="s">
        <v>21</v>
      </c>
      <c r="D14" s="4" t="s">
        <v>118</v>
      </c>
      <c r="E14" s="4" t="s">
        <v>119</v>
      </c>
      <c r="F14" s="3" t="s">
        <v>120</v>
      </c>
      <c r="G14" s="4" t="s">
        <v>121</v>
      </c>
      <c r="H14" s="4" t="s">
        <v>122</v>
      </c>
      <c r="I14" s="3" t="s">
        <v>18</v>
      </c>
      <c r="J14" s="4" t="s">
        <v>123</v>
      </c>
      <c r="K14" s="4" t="s">
        <v>124</v>
      </c>
    </row>
    <row r="15" spans="1:11" ht="79.95" customHeight="1" x14ac:dyDescent="0.3">
      <c r="A15" s="3">
        <v>14</v>
      </c>
      <c r="B15" s="4" t="s">
        <v>125</v>
      </c>
      <c r="C15" s="4" t="s">
        <v>81</v>
      </c>
      <c r="D15" s="4" t="s">
        <v>126</v>
      </c>
      <c r="E15" s="4" t="s">
        <v>127</v>
      </c>
      <c r="F15" s="3" t="s">
        <v>128</v>
      </c>
      <c r="G15" s="4" t="s">
        <v>129</v>
      </c>
      <c r="H15" s="4" t="s">
        <v>130</v>
      </c>
      <c r="I15" s="3" t="s">
        <v>105</v>
      </c>
      <c r="J15" s="4" t="s">
        <v>131</v>
      </c>
      <c r="K15" s="4" t="s">
        <v>132</v>
      </c>
    </row>
    <row r="16" spans="1:11" ht="79.95" customHeight="1" x14ac:dyDescent="0.3">
      <c r="A16" s="3">
        <v>15</v>
      </c>
      <c r="B16" s="4" t="s">
        <v>133</v>
      </c>
      <c r="C16" s="4" t="s">
        <v>21</v>
      </c>
      <c r="D16" s="4" t="s">
        <v>134</v>
      </c>
      <c r="E16" s="4" t="s">
        <v>135</v>
      </c>
      <c r="F16" s="3" t="s">
        <v>136</v>
      </c>
      <c r="G16" s="4" t="s">
        <v>137</v>
      </c>
      <c r="H16" s="4" t="s">
        <v>138</v>
      </c>
      <c r="I16" s="3" t="s">
        <v>139</v>
      </c>
      <c r="J16" s="4" t="s">
        <v>140</v>
      </c>
      <c r="K16" s="4" t="s">
        <v>141</v>
      </c>
    </row>
    <row r="17" spans="1:11" ht="79.95" customHeight="1" x14ac:dyDescent="0.3">
      <c r="A17" s="3">
        <v>16</v>
      </c>
      <c r="B17" s="4" t="s">
        <v>142</v>
      </c>
      <c r="C17" s="4" t="s">
        <v>81</v>
      </c>
      <c r="D17" s="4" t="s">
        <v>143</v>
      </c>
      <c r="E17" s="4" t="s">
        <v>144</v>
      </c>
      <c r="F17" s="3" t="s">
        <v>145</v>
      </c>
      <c r="G17" s="4" t="s">
        <v>146</v>
      </c>
      <c r="H17" s="4" t="s">
        <v>147</v>
      </c>
      <c r="I17" s="3" t="s">
        <v>148</v>
      </c>
      <c r="J17" s="4" t="s">
        <v>149</v>
      </c>
      <c r="K17" s="4" t="s">
        <v>150</v>
      </c>
    </row>
    <row r="18" spans="1:11" ht="79.95" customHeight="1" x14ac:dyDescent="0.3">
      <c r="A18" s="3">
        <v>17</v>
      </c>
      <c r="B18" s="4" t="s">
        <v>151</v>
      </c>
      <c r="C18" s="4" t="s">
        <v>152</v>
      </c>
      <c r="D18" s="4" t="s">
        <v>153</v>
      </c>
      <c r="E18" s="4" t="s">
        <v>154</v>
      </c>
      <c r="F18" s="3" t="s">
        <v>155</v>
      </c>
      <c r="G18" s="4" t="s">
        <v>156</v>
      </c>
      <c r="H18" s="4" t="s">
        <v>157</v>
      </c>
      <c r="I18" s="3" t="s">
        <v>158</v>
      </c>
      <c r="J18" s="4" t="s">
        <v>159</v>
      </c>
      <c r="K18" s="4" t="s">
        <v>160</v>
      </c>
    </row>
    <row r="19" spans="1:11" ht="79.95" customHeight="1" x14ac:dyDescent="0.3">
      <c r="A19" s="3">
        <v>18</v>
      </c>
      <c r="B19" s="4" t="s">
        <v>161</v>
      </c>
      <c r="C19" s="4" t="s">
        <v>162</v>
      </c>
      <c r="D19" s="4" t="s">
        <v>163</v>
      </c>
      <c r="E19" s="4" t="s">
        <v>164</v>
      </c>
      <c r="F19" s="3" t="s">
        <v>165</v>
      </c>
      <c r="G19" s="4" t="s">
        <v>166</v>
      </c>
      <c r="H19" s="4" t="s">
        <v>167</v>
      </c>
      <c r="I19" s="3" t="s">
        <v>168</v>
      </c>
      <c r="J19" s="4" t="s">
        <v>169</v>
      </c>
      <c r="K19" s="4" t="s">
        <v>170</v>
      </c>
    </row>
  </sheetData>
  <autoFilter ref="A1:K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election activeCell="D16" sqref="D16"/>
    </sheetView>
  </sheetViews>
  <sheetFormatPr defaultRowHeight="14.4" x14ac:dyDescent="0.3"/>
  <cols>
    <col min="1" max="1" width="5" customWidth="1"/>
    <col min="2" max="2" width="32" customWidth="1"/>
    <col min="3" max="3" width="8" customWidth="1"/>
    <col min="4" max="4" width="65" customWidth="1"/>
  </cols>
  <sheetData>
    <row r="1" spans="1:4" ht="28.05" customHeight="1" x14ac:dyDescent="0.3">
      <c r="A1" s="5" t="s">
        <v>0</v>
      </c>
      <c r="B1" s="5" t="s">
        <v>171</v>
      </c>
      <c r="C1" s="5" t="s">
        <v>172</v>
      </c>
      <c r="D1" s="5" t="s">
        <v>173</v>
      </c>
    </row>
    <row r="2" spans="1:4" ht="22.05" customHeight="1" x14ac:dyDescent="0.3">
      <c r="A2" s="6">
        <v>1</v>
      </c>
      <c r="B2" s="7" t="s">
        <v>174</v>
      </c>
      <c r="C2" s="6">
        <v>3</v>
      </c>
      <c r="D2" s="7" t="s">
        <v>175</v>
      </c>
    </row>
    <row r="3" spans="1:4" ht="22.05" customHeight="1" x14ac:dyDescent="0.3">
      <c r="A3" s="6">
        <v>2</v>
      </c>
      <c r="B3" s="7" t="s">
        <v>176</v>
      </c>
      <c r="C3" s="6">
        <v>3</v>
      </c>
      <c r="D3" s="7" t="s">
        <v>177</v>
      </c>
    </row>
    <row r="4" spans="1:4" ht="22.05" customHeight="1" x14ac:dyDescent="0.3">
      <c r="A4" s="6">
        <v>3</v>
      </c>
      <c r="B4" s="7" t="s">
        <v>178</v>
      </c>
      <c r="C4" s="6">
        <v>1</v>
      </c>
      <c r="D4" s="7" t="s">
        <v>179</v>
      </c>
    </row>
    <row r="5" spans="1:4" ht="22.05" customHeight="1" x14ac:dyDescent="0.3">
      <c r="A5" s="6">
        <v>4</v>
      </c>
      <c r="B5" s="7" t="s">
        <v>180</v>
      </c>
      <c r="C5" s="6">
        <v>2</v>
      </c>
      <c r="D5" s="7" t="s">
        <v>181</v>
      </c>
    </row>
    <row r="6" spans="1:4" ht="22.05" customHeight="1" x14ac:dyDescent="0.3">
      <c r="A6" s="6">
        <v>5</v>
      </c>
      <c r="B6" s="7" t="s">
        <v>182</v>
      </c>
      <c r="C6" s="6">
        <v>2</v>
      </c>
      <c r="D6" s="7" t="s">
        <v>183</v>
      </c>
    </row>
    <row r="7" spans="1:4" ht="22.05" customHeight="1" x14ac:dyDescent="0.3">
      <c r="A7" s="6">
        <v>6</v>
      </c>
      <c r="B7" s="7" t="s">
        <v>184</v>
      </c>
      <c r="C7" s="6">
        <v>2</v>
      </c>
      <c r="D7" s="7" t="s">
        <v>185</v>
      </c>
    </row>
    <row r="8" spans="1:4" ht="22.05" customHeight="1" x14ac:dyDescent="0.3">
      <c r="A8" s="6">
        <v>7</v>
      </c>
      <c r="B8" s="7" t="s">
        <v>186</v>
      </c>
      <c r="C8" s="6">
        <v>1</v>
      </c>
      <c r="D8" s="7" t="s">
        <v>187</v>
      </c>
    </row>
    <row r="9" spans="1:4" ht="22.05" customHeight="1" x14ac:dyDescent="0.3">
      <c r="A9" s="6">
        <v>8</v>
      </c>
      <c r="B9" s="7" t="s">
        <v>188</v>
      </c>
      <c r="C9" s="6">
        <v>2</v>
      </c>
      <c r="D9" s="7" t="s">
        <v>189</v>
      </c>
    </row>
    <row r="10" spans="1:4" ht="22.05" customHeight="1" x14ac:dyDescent="0.3">
      <c r="A10" s="6">
        <v>9</v>
      </c>
      <c r="B10" s="7" t="s">
        <v>190</v>
      </c>
      <c r="C10" s="6">
        <v>2</v>
      </c>
      <c r="D10" s="7" t="s">
        <v>191</v>
      </c>
    </row>
    <row r="11" spans="1:4" ht="22.05" customHeight="1" x14ac:dyDescent="0.3">
      <c r="A11" s="6">
        <v>10</v>
      </c>
      <c r="B11" s="7" t="s">
        <v>192</v>
      </c>
      <c r="C11" s="6">
        <v>1</v>
      </c>
      <c r="D11" s="7" t="s">
        <v>193</v>
      </c>
    </row>
    <row r="12" spans="1:4" ht="22.05" customHeight="1" x14ac:dyDescent="0.3">
      <c r="A12" s="8"/>
      <c r="B12" s="9" t="s">
        <v>194</v>
      </c>
      <c r="C12" s="8">
        <f>SUM(C2:C11)</f>
        <v>19</v>
      </c>
      <c r="D12" s="9" t="s">
        <v>195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topLeftCell="A13" workbookViewId="0">
      <selection activeCell="F7" sqref="F7"/>
    </sheetView>
  </sheetViews>
  <sheetFormatPr defaultRowHeight="14.4" x14ac:dyDescent="0.3"/>
  <cols>
    <col min="1" max="1" width="38" customWidth="1"/>
    <col min="2" max="2" width="90" customWidth="1"/>
  </cols>
  <sheetData>
    <row r="1" spans="1:2" ht="28.05" customHeight="1" x14ac:dyDescent="0.3">
      <c r="A1" s="1" t="s">
        <v>196</v>
      </c>
      <c r="B1" s="1" t="s">
        <v>197</v>
      </c>
    </row>
    <row r="2" spans="1:2" ht="29.4" customHeight="1" x14ac:dyDescent="0.3">
      <c r="A2" s="2" t="s">
        <v>198</v>
      </c>
      <c r="B2" s="2"/>
    </row>
    <row r="3" spans="1:2" ht="100.05" customHeight="1" x14ac:dyDescent="0.3">
      <c r="A3" s="10" t="s">
        <v>199</v>
      </c>
      <c r="B3" s="10" t="s">
        <v>200</v>
      </c>
    </row>
    <row r="4" spans="1:2" ht="100.05" customHeight="1" x14ac:dyDescent="0.3">
      <c r="A4" s="10" t="s">
        <v>201</v>
      </c>
      <c r="B4" s="10" t="s">
        <v>202</v>
      </c>
    </row>
    <row r="5" spans="1:2" ht="100.05" customHeight="1" x14ac:dyDescent="0.3">
      <c r="A5" s="10" t="s">
        <v>203</v>
      </c>
      <c r="B5" s="10" t="s">
        <v>204</v>
      </c>
    </row>
    <row r="6" spans="1:2" ht="100.05" customHeight="1" x14ac:dyDescent="0.3">
      <c r="A6" s="10" t="s">
        <v>205</v>
      </c>
      <c r="B6" s="10" t="s">
        <v>206</v>
      </c>
    </row>
    <row r="7" spans="1:2" ht="100.05" customHeight="1" x14ac:dyDescent="0.3">
      <c r="A7" s="10" t="s">
        <v>207</v>
      </c>
      <c r="B7" s="10" t="s">
        <v>208</v>
      </c>
    </row>
    <row r="8" spans="1:2" ht="19.95" customHeight="1" x14ac:dyDescent="0.3">
      <c r="A8" s="2" t="s">
        <v>209</v>
      </c>
      <c r="B8" s="2"/>
    </row>
    <row r="9" spans="1:2" ht="100.05" customHeight="1" x14ac:dyDescent="0.3">
      <c r="A9" s="10" t="s">
        <v>210</v>
      </c>
      <c r="B9" s="10" t="s">
        <v>211</v>
      </c>
    </row>
    <row r="10" spans="1:2" ht="100.05" customHeight="1" x14ac:dyDescent="0.3">
      <c r="A10" s="10" t="s">
        <v>212</v>
      </c>
      <c r="B10" s="10" t="s">
        <v>213</v>
      </c>
    </row>
    <row r="11" spans="1:2" ht="100.05" customHeight="1" x14ac:dyDescent="0.3">
      <c r="A11" s="10" t="s">
        <v>214</v>
      </c>
      <c r="B11" s="10" t="s">
        <v>215</v>
      </c>
    </row>
    <row r="12" spans="1:2" ht="100.05" customHeight="1" x14ac:dyDescent="0.3">
      <c r="A12" s="10" t="s">
        <v>216</v>
      </c>
      <c r="B12" s="10" t="s">
        <v>217</v>
      </c>
    </row>
    <row r="13" spans="1:2" ht="32.4" customHeight="1" x14ac:dyDescent="0.3">
      <c r="A13" s="2" t="s">
        <v>218</v>
      </c>
      <c r="B13" s="2"/>
    </row>
    <row r="14" spans="1:2" ht="100.05" customHeight="1" x14ac:dyDescent="0.3">
      <c r="A14" s="10" t="s">
        <v>219</v>
      </c>
      <c r="B14" s="10" t="s">
        <v>220</v>
      </c>
    </row>
    <row r="15" spans="1:2" ht="100.05" customHeight="1" x14ac:dyDescent="0.3">
      <c r="A15" s="10" t="s">
        <v>221</v>
      </c>
      <c r="B15" s="10" t="s">
        <v>222</v>
      </c>
    </row>
    <row r="16" spans="1:2" ht="100.05" customHeight="1" x14ac:dyDescent="0.3">
      <c r="A16" s="10" t="s">
        <v>223</v>
      </c>
      <c r="B16" s="10" t="s">
        <v>224</v>
      </c>
    </row>
    <row r="17" spans="1:2" ht="100.05" customHeight="1" x14ac:dyDescent="0.3">
      <c r="A17" s="10" t="s">
        <v>225</v>
      </c>
      <c r="B17" s="10" t="s">
        <v>226</v>
      </c>
    </row>
    <row r="18" spans="1:2" ht="100.05" customHeight="1" x14ac:dyDescent="0.3">
      <c r="A18" s="10" t="s">
        <v>227</v>
      </c>
      <c r="B18" s="10" t="s">
        <v>228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Volunteer Opportunities</vt:lpstr>
      <vt:lpstr>Sector Summary</vt:lpstr>
      <vt:lpstr>Bonus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KAVI ARASU G</cp:lastModifiedBy>
  <dcterms:created xsi:type="dcterms:W3CDTF">2026-06-16T02:06:46Z</dcterms:created>
  <dcterms:modified xsi:type="dcterms:W3CDTF">2026-06-16T03:27:51Z</dcterms:modified>
</cp:coreProperties>
</file>