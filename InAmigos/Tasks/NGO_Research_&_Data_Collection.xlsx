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Downloads\"/>
    </mc:Choice>
  </mc:AlternateContent>
  <xr:revisionPtr revIDLastSave="0" documentId="8_{ED803C5E-19C2-4BA4-8FE4-3C7E287D86E5}" xr6:coauthVersionLast="47" xr6:coauthVersionMax="47" xr10:uidLastSave="{00000000-0000-0000-0000-000000000000}"/>
  <bookViews>
    <workbookView xWindow="-108" yWindow="-108" windowWidth="23256" windowHeight="12456" tabRatio="500" activeTab="1" xr2:uid="{00000000-000D-0000-FFFF-FFFF00000000}"/>
  </bookViews>
  <sheets>
    <sheet name="NGO Database" sheetId="1" r:id="rId1"/>
    <sheet name="Bonus Analysis" sheetId="2" r:id="rId2"/>
    <sheet name="Sector Summary" sheetId="3" r:id="rId3"/>
    <sheet name="Conclusion" sheetId="5" r:id="rId4"/>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10" i="3" l="1"/>
</calcChain>
</file>

<file path=xl/sharedStrings.xml><?xml version="1.0" encoding="utf-8"?>
<sst xmlns="http://schemas.openxmlformats.org/spreadsheetml/2006/main" count="222" uniqueCount="199">
  <si>
    <t>NGO RESEARCH DATABASE — INDIA</t>
  </si>
  <si>
    <t>Sectors: Education | Healthcare | Women Empowerment | Animal Welfare | Environment | Child Rights | Hunger Relief</t>
  </si>
  <si>
    <t>#</t>
  </si>
  <si>
    <t>NGO Name</t>
  </si>
  <si>
    <t>Founder(s)</t>
  </si>
  <si>
    <t>Sector</t>
  </si>
  <si>
    <t>Mission &amp; Vision</t>
  </si>
  <si>
    <t>Key Programs / Projects</t>
  </si>
  <si>
    <t>Area of Operation</t>
  </si>
  <si>
    <t>Impact Statistics</t>
  </si>
  <si>
    <t>Contact Information</t>
  </si>
  <si>
    <t>Official Website &amp; Social Media</t>
  </si>
  <si>
    <t>Funding Sources</t>
  </si>
  <si>
    <t>Pratham</t>
  </si>
  <si>
    <t>Madhav Chavan &amp; Farida Lambay</t>
  </si>
  <si>
    <t>Education</t>
  </si>
  <si>
    <t>Mission: Improve quality of education for underprivileged children across India.
Vision: Every child in school and learning well.</t>
  </si>
  <si>
    <t>Read India; Annual Status of Education Report (ASER); Early Childhood Education (ECE); Pratham Skills (Vocational Training)</t>
  </si>
  <si>
    <t>Pan-India — 21+ states including UP, Bihar, Rajasthan, Maharashtra, Gujarat (urban slums + rural villages)</t>
  </si>
  <si>
    <t>Y B Chavan Centre, 4th Floor, Gen. J. Bhonsle Marg, Mumbai – 400021
Email: info@pratham.org
Phone: +91-22-2281-0752</t>
  </si>
  <si>
    <t>Website: www.pratham.org
Facebook: /prathamorg
Twitter: @Pratham_India
LinkedIn: /company/pratham</t>
  </si>
  <si>
    <t>CRY – Child Rights and You</t>
  </si>
  <si>
    <t>Rippan Kapur</t>
  </si>
  <si>
    <t>Child Rights</t>
  </si>
  <si>
    <t>Mission: Ensure lasting, meaningful change in the lives of underprivileged Indian children.
Vision: A world in which every child's rights are fulfilled.</t>
  </si>
  <si>
    <t>Child Rights Campaign; Preventive Child Labour programme; School Enrolment Drives; Child Protection Policy Advocacy</t>
  </si>
  <si>
    <t>19 states across India — urban and rural; strong presence in Maharashtra, Karnataka, Delhi, West Bengal</t>
  </si>
  <si>
    <t>189-A, Andheri (East), Mumbai – 400069
Email: info@cry.org
Phone: +91-22-2682-5025</t>
  </si>
  <si>
    <t>Website: www.cry.org
Facebook: /CRYIndia
Twitter: @CRY_India
Instagram: @cry_india</t>
  </si>
  <si>
    <t>Goonj</t>
  </si>
  <si>
    <t>Anshu Gupta</t>
  </si>
  <si>
    <t>Livelihood / Disaster Relief</t>
  </si>
  <si>
    <t>Mission: Channelise urban surplus material for dignified rural development.
Vision: Redefine giving — cloth and material as tools for social change.</t>
  </si>
  <si>
    <t>Cloth for Work; School to School; RAHAT Disaster Relief; Not Just a Piece of Cloth; Aajeevika (Rural Livelihoods)</t>
  </si>
  <si>
    <t>Pan-India — 23+ states; focus on disaster-prone (Assam, Bihar, Odisha) and remote tribal regions</t>
  </si>
  <si>
    <t>J-93, Sarita Vihar, New Delhi – 110076
Email: mail@goonj.org
Phone: +91-11-2674-4355</t>
  </si>
  <si>
    <t>Website: www.goonj.org
Facebook: /goonj.org
Twitter: @goonj
Instagram: @goonj_org</t>
  </si>
  <si>
    <t>Akshaya Patra Foundation</t>
  </si>
  <si>
    <t>Chanchalapathi Dasa (ISKCON)</t>
  </si>
  <si>
    <t>Nutrition &amp; Education</t>
  </si>
  <si>
    <t>Mission: No child in India shall be deprived of education due to hunger.
Vision: Feed 5 million school children every day.</t>
  </si>
  <si>
    <t>Mid-Day Meal Programme (MDMP) under Govt. of India; Anganwadi Supplementary Nutrition; Corporate Volunteering Meal Drives</t>
  </si>
  <si>
    <t>12 states and 2 Union Territories — Karnataka, Rajasthan, UP, Odisha, Gujarat, Telangana among others; 19,039+ schools</t>
  </si>
  <si>
    <t>HQ: 1st Cross, 1st Phase, 2nd Stage, Rajajinagar, Bengaluru – 560010
Email: info@akshayapatra.org
Phone: +91-80-3014-7777</t>
  </si>
  <si>
    <t>Website: www.akshayapatra.org
Facebook: /TheAkshayaPatra
Twitter: @AkshayapatraFdn
Instagram: @theakshayapatrafoundation</t>
  </si>
  <si>
    <t>Smile Foundation</t>
  </si>
  <si>
    <t>Santanu Mishra, Biju Mohan &amp; Ritu Soni</t>
  </si>
  <si>
    <t>Education, Health &amp; Women</t>
  </si>
  <si>
    <t>Mission: Empower underprivileged children, youth, and women through education, healthcare, and livelihood programs.
Vision: A just world where every child smiles.</t>
  </si>
  <si>
    <t>Mission Education; Swabhiman (Women Empowerment); STeP – Skills Training &amp; Placement; Smile on Wheels (Mobile Healthcare Van)</t>
  </si>
  <si>
    <t>25 states — 400+ villages &amp; slums; 2,000+ project locations across urban and rural India</t>
  </si>
  <si>
    <t>11/4, Special Institutional Area, New Delhi – 110016
Email: contact@smilefoundationindia.org
Phone: +91-11-4534-0400</t>
  </si>
  <si>
    <t>Website: www.smilefoundationindia.org
Facebook: /SmileFoundationIndia
Twitter: @smilefoundation
Instagram: @smilefoundationindia</t>
  </si>
  <si>
    <t>Wildlife SOS</t>
  </si>
  <si>
    <t>Kartick Satyanarayan &amp; Geeta Seshamani</t>
  </si>
  <si>
    <t>Animal Welfare</t>
  </si>
  <si>
    <t>Mission: Protect and conserve India's natural heritage, wildlife, and forests.
Vision: A world where humans and wildlife coexist peacefully.</t>
  </si>
  <si>
    <t>Bear Rescue Programme (dancing bears); Elephant Conservation Centre (Mathura); Leopard Rescue; Forest Watch; Wildlife Crime Prevention</t>
  </si>
  <si>
    <t>Pan-India — Agra, Delhi, Bangalore, Jammu &amp; Kashmir; 7 dedicated conservation and rescue facilities</t>
  </si>
  <si>
    <t>CF-2, Institutional Area, Janakpuri, New Delhi – 110058
Email: info@wildlifesos.org
Phone: +91-11-2559-3939</t>
  </si>
  <si>
    <t>Website: www.wildlifesos.org
Facebook: /WildlifeSOS
Twitter: @Wildlife_SOS
Instagram: @wildlifesos</t>
  </si>
  <si>
    <t>SEWA – Self-Employed Women's Association</t>
  </si>
  <si>
    <t>Ela Bhatt</t>
  </si>
  <si>
    <t>Women Empowerment</t>
  </si>
  <si>
    <t>Mission: Achieve full employment and self-reliance for poor, self-employed women workers.
Vision: A society where women workers have decent work, income, food, and social security.</t>
  </si>
  <si>
    <t>SEWA Bank (Cooperative Bank); Women's Cooperatives; SEWA Academy (Training); Maternal Healthcare; Disaster Relief for Women</t>
  </si>
  <si>
    <t>17 states — strongest in Gujarat, Rajasthan, MP, Bihar, Delhi; both urban informal workers and rural women</t>
  </si>
  <si>
    <t>SEWA Reception Centre, Opp. Victoria Garden, Bhadra, Ahmedabad – 380001
Email: mail@sewa.org
Phone: +91-79-2550-6477</t>
  </si>
  <si>
    <t>Website: www.sewa.org
Facebook: /SEWAIndia
Twitter: @SEWAFederation
LinkedIn: /company/sewa</t>
  </si>
  <si>
    <t>Robin Hood Army</t>
  </si>
  <si>
    <t>Neel Ghose &amp; Anand Sinha</t>
  </si>
  <si>
    <t>Food &amp; Hunger</t>
  </si>
  <si>
    <t>Mission: Zero Food Waste, Zero Hunger.
Vision: Use surplus food from restaurants and events to feed the city's less fortunate — at zero cost.</t>
  </si>
  <si>
    <t>Sunday Distributions; Project Santa (Christmas meals); Eat. Pray. Share.; COVID-19 Emergency Meal Drives; Back to School Meals</t>
  </si>
  <si>
    <t>190+ cities in India and 15 countries globally; active in Delhi, Mumbai, Bengaluru, Chennai, Hyderabad and smaller Tier 2 cities</t>
  </si>
  <si>
    <t>Email: robinhoodarmy@gmail.com
Contact via website form (preferred)
Website contact page for city-specific chapters</t>
  </si>
  <si>
    <t>Website: www.robinhoodarmy.com
Facebook: /RobinHoodArmy
Twitter: @RobinHoodArmy
Instagram: @robinhoodarmy</t>
  </si>
  <si>
    <t>Doctors For You (DFY)</t>
  </si>
  <si>
    <t>Healthcare</t>
  </si>
  <si>
    <t>Mission: Provide quality healthcare to underserved populations in remote and disaster-affected areas.
Vision: Quality healthcare as a fundamental right, not a privilege.</t>
  </si>
  <si>
    <t>Mobile Health Units; Disaster Medical Response Teams; TB &amp; Malaria Control; Community Health Worker Training; Mental Health Outreach</t>
  </si>
  <si>
    <t>Maharashtra, Madhya Pradesh, Chhattisgarh, Bihar, Assam; deployed nationally during disasters (Kerala floods, COVID-19, earthquakes)</t>
  </si>
  <si>
    <t>Sai Prabhu CHS, Swami Vivekanand Nagar, Siddhachal Phase 6, Thane (W) – 400610
Email: info@doctorsforyou.org</t>
  </si>
  <si>
    <t>Website: www.doctorsforyou.org
Facebook: /DoctorsForYou
Twitter: @DoctorsForYou
LinkedIn: /company/doctors-for-you</t>
  </si>
  <si>
    <t>Navdanya</t>
  </si>
  <si>
    <t>Dr. Vandana Shiva</t>
  </si>
  <si>
    <t>Environmental Conservation</t>
  </si>
  <si>
    <t>Mission: Protect nature and people's rights to knowledge, biodiversity, water, and food.
Vision: Earth Democracy — ecological sustainability, food sovereignty, and economic justice.</t>
  </si>
  <si>
    <t>Seed Saving &amp; Community Seed Banks; Organic Farming Training; Bija Vidyapeeth (Earth University); Policy Advocacy at UN &amp; Govt. level</t>
  </si>
  <si>
    <t>18 states — HQ in Doon Valley, Uttarakhand; seed banks spread across India in tribal and farming communities</t>
  </si>
  <si>
    <t>A-60, Hauz Khas, New Delhi – 110016
Email: navdanya@gmail.com
Phone: +91-11-2656-3314</t>
  </si>
  <si>
    <t>Website: www.navdanya.org
Facebook: /NavdanyaInternational
Twitter: @navdanya
Instagram: @navdanya_international</t>
  </si>
  <si>
    <t>Teach For India</t>
  </si>
  <si>
    <t>Shaheen Mistri</t>
  </si>
  <si>
    <t>Mission: Build a movement of leaders who will eliminate educational inequity in India.
Vision: An excellent and equitable education for all children.</t>
  </si>
  <si>
    <t>2-Year Fellowship (university graduates teach in under-resourced schools); Alumni Network Impact; Policy Advocacy for Education Reform</t>
  </si>
  <si>
    <t>9 cities — Mumbai, Delhi, Pune, Hyderabad, Ahmedabad, Chennai, Bengaluru, Kolkata, Jaipur; 350+ schools</t>
  </si>
  <si>
    <t>301, Prabhadevi Industrial Estate, Veer Savarkar Marg, Mumbai – 400025
Email: info@teachforindia.org</t>
  </si>
  <si>
    <t>Website: www.teachforindia.org
Facebook: /TeachForIndia
Twitter: @TeachForIndia
Instagram: @teachforindia</t>
  </si>
  <si>
    <t>Ibtada</t>
  </si>
  <si>
    <t>Archana Dassi</t>
  </si>
  <si>
    <t>Mission: Empower poor rural women — particularly Muslim women — to break cycles of poverty through education and collective action.
Vision: Gender-just, equitable rural communities in Rajasthan.</t>
  </si>
  <si>
    <t>Self Help Groups (SHGs) for Women; Adult Literacy Campaigns; Legal Rights Awareness; Livelihood Skill Development; Child Marriage Prevention</t>
  </si>
  <si>
    <t>Alwar district, Rajasthan — 350+ villages; focus on Muslim-minority and marginalized rural communities</t>
  </si>
  <si>
    <t>42, Shastri Nagar, Alwar – 301001, Rajasthan
Email: ibtada2000@gmail.com
Phone: +91-144-2700-611</t>
  </si>
  <si>
    <t>Website: www.ibtada.org
Facebook: /IbtadaAlwar
LinkedIn: /company/ibtada</t>
  </si>
  <si>
    <t>BONUS ANALYSIS — NGO Sector Insights</t>
  </si>
  <si>
    <t>Based on research across 12 NGOs operating in India across multiple social sectors</t>
  </si>
  <si>
    <t>SECTION</t>
  </si>
  <si>
    <t>DETAIL</t>
  </si>
  <si>
    <t>─── COMMON CHALLENGES ───</t>
  </si>
  <si>
    <t>Funding Instability</t>
  </si>
  <si>
    <t>Most NGOs depend heavily on government grants, corporate CSR cycles, or foreign FCRA funds — all of which can be discontinued. Small NGOs often cannot plan beyond 1–2 years due to this uncertainty.</t>
  </si>
  <si>
    <t>FCRA &amp; Regulatory Burden</t>
  </si>
  <si>
    <t>Foreign Contribution Regulation Act (FCRA) compliance, along with GST registration and audit requirements, consumes significant time and resources — particularly for grassroot organisations like Ibtada or Navdanya.</t>
  </si>
  <si>
    <t>Last-Mile Delivery</t>
  </si>
  <si>
    <t>Reaching remote tribal zones, flood-prone regions, and conflict areas (Chhattisgarh, NE India) remains difficult. NGOs like Doctors For You and Goonj address this but face logistical and safety challenges.</t>
  </si>
  <si>
    <t>Staff Retention</t>
  </si>
  <si>
    <t>The private sector offers salaries that NGOs cannot match. High attrition affects programme continuity, especially in technical roles (doctors at DFY, field engineers at Wildlife SOS).</t>
  </si>
  <si>
    <t>Impact Measurement</t>
  </si>
  <si>
    <t>Standardised data collection for outcomes (not just outputs) is resource-intensive. NGOs often report reach numbers (people covered) rather than long-term behavioural or income change data.</t>
  </si>
  <si>
    <t>Technology Adoption</t>
  </si>
  <si>
    <t>Grassroot NGOs like SEWA and Ibtada work with low-literacy beneficiaries in areas with poor connectivity, making digital programme tools difficult to implement and sustain.</t>
  </si>
  <si>
    <t>─── SIMILARITIES ───</t>
  </si>
  <si>
    <t>Community-Based Model</t>
  </si>
  <si>
    <t>All 12 NGOs use community participation as a core strategy — self-help groups (SEWA, Ibtada), village-level workers (Navdanya), local volunteers (Robin Hood Army). Externally imposed solutions are rare.</t>
  </si>
  <si>
    <t>Multi-Stakeholder Partnerships</t>
  </si>
  <si>
    <t>Every NGO combines at least two of: Government tie-ups, Corporate CSR, International grants, and grassroot community contributions. No single NGO relies on one source alone.</t>
  </si>
  <si>
    <t>Focus on Marginalised Groups</t>
  </si>
  <si>
    <t>Whether it is dancing bears (Wildlife SOS), tribal seed farmers (Navdanya), Muslim rural women (Ibtada), or street children (CRY) — all 12 target groups excluded from mainstream development.</t>
  </si>
  <si>
    <t>SDG Alignment</t>
  </si>
  <si>
    <t>All organisations implicitly or explicitly align with United Nations Sustainable Development Goals — particularly SDG 1 (No Poverty), SDG 2 (Zero Hunger), SDG 3 (Good Health), SDG 4 (Quality Education), SDG 5 (Gender Equality), and SDG 15 (Life on Land).</t>
  </si>
  <si>
    <t>─── KEY DIFFERENCES ───</t>
  </si>
  <si>
    <t>Scale of Operations</t>
  </si>
  <si>
    <t>Ranges from hyper-local (Ibtada — 350 villages in Alwar) to national-scale (Pratham — 21 states, 75 million+ children) to international (Robin Hood Army — 190 cities, 15 countries).</t>
  </si>
  <si>
    <t>Funding Models</t>
  </si>
  <si>
    <t>Robin Hood Army = 100% volunteer, zero institutional funding. Navdanya = product sales from organic farm. Akshaya Patra = 60% Govt. funding. This diversity reflects different philosophical approaches to dependency and scale.</t>
  </si>
  <si>
    <t>Legal Structure</t>
  </si>
  <si>
    <t>Varies widely: Registered Society (Pratham, CRY), Public Trust (Goonj, Akshaya Patra), Section 8 Company (Smile Foundation, Teach For India), Trade Union (SEWA). Each structure has different tax, governance, and FCRA implications.</t>
  </si>
  <si>
    <t>Urban vs Rural Focus</t>
  </si>
  <si>
    <t>CRY and Smile Foundation are stronger in urban slums; Navdanya, Goonj, and Ibtada are primarily rural. Akshaya Patra and DFY work across both with equal intensity.</t>
  </si>
  <si>
    <t>─── SECTOR PARTICIPATION RANKING ───</t>
  </si>
  <si>
    <t>🥇  Education (Highest)</t>
  </si>
  <si>
    <t>Largest number of NGOs: Pratham, CRY, Akshaya Patra, Smile Foundation, Teach For India. Government Mid-Day Meal and RTE Act have created strong NGO-Govt. partnership opportunities.</t>
  </si>
  <si>
    <t>🥈  Healthcare</t>
  </si>
  <si>
    <t>Significant NGO presence: Doctors For You, Smile on Wheels (Smile Foundation), Jan Swasthya Abhiyan network. Gaps in primary healthcare access in rural India drive continued demand.</t>
  </si>
  <si>
    <t>🥉  Women Empowerment</t>
  </si>
  <si>
    <t>Growing sector: SEWA (2.1M members), Ibtada, Swabhiman (Smile Foundation). Self-Help Group model, supported by NABARD, has enabled scale in this sector.</t>
  </si>
  <si>
    <t>4th  Environmental Conservation</t>
  </si>
  <si>
    <t>Navdanya, Wildlife SOS, Centre for Science and Environment. International funding availability (climate funds, EU grants) supports this sector despite being smaller in NGO count.</t>
  </si>
  <si>
    <t>5th  Disaster Relief / Hunger</t>
  </si>
  <si>
    <t>Goonj, Robin Hood Army, DFY. India's frequent natural disasters (floods, cyclones) ensure consistent demand, but funding is often reactive and event-driven rather than sustained.</t>
  </si>
  <si>
    <t>Note on Sector Data</t>
  </si>
  <si>
    <t>Source: NGO Darpan (Ministry of Home Affairs) data shows Education and Health together account for over 55% of all registered NGOs in India (out of ~3.3 million registered organisations).</t>
  </si>
  <si>
    <t>NGO COUNT BY SECTOR — This Research</t>
  </si>
  <si>
    <t>NGOs in This Research</t>
  </si>
  <si>
    <t>Representative NGOs</t>
  </si>
  <si>
    <t>Pratham, CRY, Akshaya Patra, Smile Foundation, Teach For India</t>
  </si>
  <si>
    <t>SEWA, Ibtada, Smile Foundation (Swabhiman)</t>
  </si>
  <si>
    <t>Doctors For You, Smile Foundation (Smile on Wheels)</t>
  </si>
  <si>
    <t>Food &amp; Hunger Relief</t>
  </si>
  <si>
    <t>Total NGOs</t>
  </si>
  <si>
    <t>Across 7 social sectors</t>
  </si>
  <si>
    <t>Sources: NGO official websites · GuideStar India · Give.do · NGO Darpan (Govt. of India) · Annual Reports · CSR filings</t>
  </si>
  <si>
    <t>Approximately 75+ million children reached through educational initiatives</t>
  </si>
  <si>
    <t>Approximately 3 million children and communities impacted across India</t>
  </si>
  <si>
    <t>Over 10 million people supported through relief and development programs</t>
  </si>
  <si>
    <t>Over 2 million children receive meals daily; billions of meals served since inception</t>
  </si>
  <si>
    <t>Approximately 1.5 million beneficiaries reached annually through various programs</t>
  </si>
  <si>
    <t>Hundreds of bears rescued and thousands of animals rehabilitated through conservation programs</t>
  </si>
  <si>
    <t>Over 2 million women members supported through livelihood and empowerment initiatives</t>
  </si>
  <si>
    <t>Over 100 million meals distributed through volunteer-driven food recovery efforts</t>
  </si>
  <si>
    <t>Thousands of farmers supported through sustainable agriculture and seed conservation programs</t>
  </si>
  <si>
    <t>Thousands of students impacted annually through fellowship and education programs</t>
  </si>
  <si>
    <t>Tens of thousands of women empowered through self-help groups and community development initiatives</t>
  </si>
  <si>
    <t>Official Website, Annual Report</t>
  </si>
  <si>
    <t>Major funding sources include CSR partnerships, philanthropic foundations, government collaborations, and individual donors</t>
  </si>
  <si>
    <t>Major funding comes from individual donors, CSR partnerships, grants, and fundraising campaigns</t>
  </si>
  <si>
    <t>Major funding sources include donations, CSR partnerships, grants, and public contributions</t>
  </si>
  <si>
    <t>Major funding comes from individual donors, corporate CSR initiatives, philanthropic foundations, and government partnerships</t>
  </si>
  <si>
    <t>Major funding sources include CSR partnerships, grants, institutional donors, and individual contributions</t>
  </si>
  <si>
    <t>Major funding comes from conservation grants, international donors, CSR support, and public donations</t>
  </si>
  <si>
    <t>Funding includes membership contributions, grants, development agencies, and institutional partners</t>
  </si>
  <si>
    <t>Official Website</t>
  </si>
  <si>
    <t>Supported primarily through volunteer contributions, partnerships, and community support initiatives</t>
  </si>
  <si>
    <t>Millions of beneficiaries reached through healthcare, disaster response, and community programs</t>
  </si>
  <si>
    <t>Major funding sources include grants, institutional donors, CSR partnerships, and development agencies</t>
  </si>
  <si>
    <t>Major funding has included grants, donations, institutional support, and philanthropic partnerships</t>
  </si>
  <si>
    <t>Major funding sources include CSR partnerships, foundations, grants, and individual donors</t>
  </si>
  <si>
    <t>Major funding comes from grants, development agencies, CSR partnerships, and donor contributions</t>
  </si>
  <si>
    <t>Founded: 1994 (formally registered in 1995)</t>
  </si>
  <si>
    <t>Founded: 2000 (operations expanded nationally from 2001)</t>
  </si>
  <si>
    <t>Year of Establishment</t>
  </si>
  <si>
    <t>Dr. Ravikant Singh</t>
  </si>
  <si>
    <t>Note: Information was collected from publicly available NGO websites, annual reports, and organizational publications. Impact statistics are approximate and may vary based on reporting periods.</t>
  </si>
  <si>
    <t>KEY OBSERVATION</t>
  </si>
  <si>
    <t>Education and Women Empowerment sectors show the highest NGO participation among the organizations studied. Most NGOs rely on a combination of CSR funding, grants, and individual donations. Technology adoption and sustainable funding remain major factors influencing organizational growth and impact.</t>
  </si>
  <si>
    <t>This research examined 12 NGOs working across education, healthcare, women empowerment, environmental conservation, animal welfare, and hunger relief sectors in India. The study found that education and women empowerment receive significant NGO participation, while most organizations rely on a combination of CSR funding, grants, and individual donations. Despite challenges such as funding constraints and operational scalability, NGOs continue to play a critical role in addressing social issues and supporting sustainable community development across the country.</t>
  </si>
  <si>
    <t>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</si>
</sst>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
    </font>
    <font>
      <i/>
      <sz val="10"/>
      <color rgb="FFFFFFFF"/>
      <name val="Arial"/>
      <charset val="1"/>
    </font>
    <font>
      <b/>
      <sz val="10"/>
      <color rgb="FFFFFFFF"/>
      <name val="Arial"/>
      <charset val="1"/>
    </font>
    <font>
      <sz val="9"/>
      <color rgb="FF333333"/>
      <name val="Arial"/>
      <charset val="1"/>
    </font>
    <font>
      <b/>
      <sz val="9"/>
      <color rgb="FF1A3C6B"/>
      <name val="Arial"/>
      <charset val="1"/>
    </font>
    <font>
      <b/>
      <sz val="16"/>
      <color rgb="FFFFFFFF"/>
      <name val="Arial"/>
      <charset val="1"/>
    </font>
    <font>
      <b/>
      <sz val="9"/>
      <color rgb="FFE87722"/>
      <name val="Arial"/>
      <charset val="1"/>
    </font>
    <font>
      <b/>
      <sz val="13"/>
      <color rgb="FFFFFFFF"/>
      <name val="Arial"/>
      <charset val="1"/>
    </font>
    <font>
      <i/>
      <sz val="9"/>
      <color rgb="FFFFFFFF"/>
      <name val="Arial"/>
      <charset val="1"/>
    </font>
    <font>
      <i/>
      <sz val="8"/>
      <color rgb="FF666666"/>
      <name val="Arial"/>
      <charset val="1"/>
    </font>
    <font>
      <b/>
      <sz val="18"/>
      <color rgb="FFFFFFFF"/>
      <name val="Arial"/>
      <family val="2"/>
    </font>
    <font>
      <b/>
      <sz val="14"/>
      <color rgb="FFFFFFFF"/>
      <name val="Arial"/>
      <family val="2"/>
    </font>
    <font>
      <b/>
      <sz val="11"/>
      <color theme="0" tint="-4.9989318521683403E-2"/>
      <name val="Calibri"/>
      <family val="2"/>
    </font>
    <font>
      <b/>
      <sz val="12"/>
      <color theme="0" tint="-4.9989318521683403E-2"/>
      <name val="Calibri"/>
      <family val="2"/>
    </font>
    <font>
      <sz val="9"/>
      <color theme="1"/>
      <name val="Arial"/>
      <family val="2"/>
    </font>
    <font>
      <sz val="11"/>
      <color theme="0"/>
      <name val="Calibri"/>
      <family val="2"/>
      <charset val="1"/>
    </font>
  </fonts>
  <fills count="11">
    <fill>
      <patternFill patternType="none"/>
    </fill>
    <fill>
      <patternFill patternType="gray125"/>
    </fill>
    <fill>
      <patternFill patternType="solid">
        <fgColor rgb="FF1A3C6B"/>
        <bgColor rgb="FF333399"/>
      </patternFill>
    </fill>
    <fill>
      <patternFill patternType="solid">
        <fgColor rgb="FF2E6DA4"/>
        <bgColor rgb="FF3366FF"/>
      </patternFill>
    </fill>
    <fill>
      <patternFill patternType="solid">
        <fgColor rgb="FF002060"/>
        <bgColor indexed="64"/>
      </patternFill>
    </fill>
    <fill>
      <patternFill patternType="solid">
        <fgColor theme="8" tint="0.79998168889431442"/>
        <bgColor rgb="FFEEF4FB"/>
      </patternFill>
    </fill>
    <fill>
      <patternFill patternType="solid">
        <fgColor theme="8" tint="0.79998168889431442"/>
        <bgColor rgb="FFFFFFFF"/>
      </patternFill>
    </fill>
    <fill>
      <patternFill patternType="solid">
        <fgColor theme="8" tint="0.79998168889431442"/>
        <bgColor indexed="64"/>
      </patternFill>
    </fill>
    <fill>
      <patternFill patternType="solid">
        <fgColor theme="0"/>
        <bgColor rgb="FF333399"/>
      </patternFill>
    </fill>
    <fill>
      <patternFill patternType="solid">
        <fgColor theme="3" tint="-0.249977111117893"/>
        <bgColor indexed="64"/>
      </patternFill>
    </fill>
    <fill>
      <patternFill patternType="solid">
        <fgColor theme="3" tint="-0.249977111117893"/>
        <bgColor rgb="FF333399"/>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9">
    <xf numFmtId="0" fontId="0" fillId="0" borderId="0" xfId="0"/>
    <xf numFmtId="0" fontId="9" fillId="0" borderId="0" xfId="0" applyFont="1" applyAlignment="1">
      <alignment horizontal="left"/>
    </xf>
    <xf numFmtId="0" fontId="0" fillId="0" borderId="0" xfId="0" applyAlignment="1">
      <alignment horizontal="left" vertical="top" wrapText="1"/>
    </xf>
    <xf numFmtId="0" fontId="5"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12" fillId="4" borderId="1" xfId="0" applyFont="1" applyFill="1" applyBorder="1" applyAlignment="1">
      <alignment horizontal="center" vertical="top"/>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4" fillId="6"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0" fillId="7" borderId="1" xfId="0" applyFill="1" applyBorder="1" applyAlignment="1">
      <alignment horizontal="left" vertical="top" wrapText="1"/>
    </xf>
    <xf numFmtId="0" fontId="0" fillId="0" borderId="0" xfId="0" applyAlignment="1">
      <alignment wrapText="1"/>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3" fillId="5"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13" fillId="9" borderId="1" xfId="0" applyFont="1" applyFill="1" applyBorder="1" applyAlignment="1">
      <alignment horizontal="center" vertical="center"/>
    </xf>
    <xf numFmtId="0" fontId="2" fillId="10" borderId="1" xfId="0" applyFont="1" applyFill="1" applyBorder="1" applyAlignment="1">
      <alignment horizontal="center" vertical="center" wrapText="1"/>
    </xf>
    <xf numFmtId="0" fontId="11" fillId="8" borderId="2" xfId="0" applyFont="1" applyFill="1" applyBorder="1" applyAlignment="1">
      <alignment horizontal="center" vertical="center"/>
    </xf>
    <xf numFmtId="0" fontId="11" fillId="8" borderId="4" xfId="0" applyFont="1" applyFill="1" applyBorder="1" applyAlignment="1">
      <alignment horizontal="center" vertical="center"/>
    </xf>
    <xf numFmtId="0" fontId="11" fillId="8" borderId="3" xfId="0" applyFont="1" applyFill="1" applyBorder="1" applyAlignment="1">
      <alignment horizontal="center" vertical="center"/>
    </xf>
    <xf numFmtId="0" fontId="14" fillId="7" borderId="1" xfId="0" applyFont="1" applyFill="1" applyBorder="1" applyAlignment="1">
      <alignment horizontal="center" vertical="top" wrapText="1"/>
    </xf>
    <xf numFmtId="0" fontId="0" fillId="0" borderId="4" xfId="0" applyBorder="1" applyAlignment="1">
      <alignment horizontal="center"/>
    </xf>
    <xf numFmtId="0" fontId="0" fillId="0" borderId="3" xfId="0" applyBorder="1" applyAlignment="1">
      <alignment horizontal="center"/>
    </xf>
    <xf numFmtId="0" fontId="15" fillId="9" borderId="1" xfId="0" applyFont="1" applyFill="1" applyBorder="1" applyAlignment="1">
      <alignment vertical="top" wrapText="1"/>
    </xf>
    <xf numFmtId="0" fontId="7" fillId="2" borderId="1" xfId="0" applyFont="1" applyFill="1" applyBorder="1" applyAlignment="1">
      <alignment horizontal="center" vertical="center"/>
    </xf>
    <xf numFmtId="0" fontId="4"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2" fillId="2" borderId="1" xfId="0" applyFont="1" applyFill="1" applyBorder="1"/>
    <xf numFmtId="0" fontId="2" fillId="2" borderId="1" xfId="0" applyFont="1" applyFill="1" applyBorder="1" applyAlignment="1">
      <alignment horizontal="center"/>
    </xf>
    <xf numFmtId="0" fontId="8" fillId="3" borderId="1"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E0"/>
      <rgbColor rgb="FFEEF4FB"/>
      <rgbColor rgb="FF660066"/>
      <rgbColor rgb="FFFF8080"/>
      <rgbColor rgb="FF2E6DA4"/>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87722"/>
      <rgbColor rgb="FF666666"/>
      <rgbColor rgb="FFAAAAAA"/>
      <rgbColor rgb="FF1A3C6B"/>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showGridLines="0" zoomScaleNormal="100" workbookViewId="0">
      <pane xSplit="1" ySplit="5" topLeftCell="G20" activePane="bottomRight" state="frozen"/>
      <selection pane="topRight" activeCell="B1" sqref="B1"/>
      <selection pane="bottomLeft" activeCell="A5" sqref="A5"/>
      <selection pane="bottomRight" activeCell="N6" sqref="N6"/>
    </sheetView>
  </sheetViews>
  <sheetFormatPr defaultColWidth="8.6640625" defaultRowHeight="14.4" x14ac:dyDescent="0.3"/>
  <cols>
    <col min="1" max="1" width="4" customWidth="1"/>
    <col min="2" max="2" width="22" customWidth="1"/>
    <col min="3" max="3" width="14" customWidth="1"/>
    <col min="4" max="4" width="24" customWidth="1"/>
    <col min="5" max="5" width="18" customWidth="1"/>
    <col min="6" max="7" width="38" customWidth="1"/>
    <col min="8" max="8" width="28" customWidth="1"/>
    <col min="9" max="9" width="36" customWidth="1"/>
    <col min="10" max="10" width="32" customWidth="1"/>
    <col min="11" max="11" width="34" customWidth="1"/>
    <col min="12" max="12" width="32" customWidth="1"/>
    <col min="13" max="13" width="18.44140625" customWidth="1"/>
  </cols>
  <sheetData>
    <row r="1" spans="1:13" ht="36" customHeight="1" x14ac:dyDescent="0.3">
      <c r="A1" s="16" t="s">
        <v>0</v>
      </c>
      <c r="B1" s="16"/>
      <c r="C1" s="16"/>
      <c r="D1" s="16"/>
      <c r="E1" s="16"/>
      <c r="F1" s="16"/>
      <c r="G1" s="16"/>
      <c r="H1" s="16"/>
      <c r="I1" s="16"/>
      <c r="J1" s="16"/>
      <c r="K1" s="16"/>
      <c r="L1" s="16"/>
      <c r="M1" s="16"/>
    </row>
    <row r="2" spans="1:13" ht="21" customHeight="1" x14ac:dyDescent="0.3">
      <c r="A2" s="17" t="s">
        <v>194</v>
      </c>
      <c r="B2" s="17"/>
      <c r="C2" s="17"/>
      <c r="D2" s="17"/>
      <c r="E2" s="17"/>
      <c r="F2" s="17"/>
      <c r="G2" s="17"/>
      <c r="H2" s="17"/>
      <c r="I2" s="17"/>
      <c r="J2" s="17"/>
      <c r="K2" s="17"/>
      <c r="L2" s="17"/>
      <c r="M2" s="17"/>
    </row>
    <row r="3" spans="1:13" ht="7.2" customHeight="1" x14ac:dyDescent="0.3">
      <c r="A3" s="22"/>
      <c r="B3" s="23"/>
      <c r="C3" s="23"/>
      <c r="D3" s="23"/>
      <c r="E3" s="23"/>
      <c r="F3" s="23"/>
      <c r="G3" s="23"/>
      <c r="H3" s="23"/>
      <c r="I3" s="23"/>
      <c r="J3" s="23"/>
      <c r="K3" s="23"/>
      <c r="L3" s="23"/>
      <c r="M3" s="24"/>
    </row>
    <row r="4" spans="1:13" ht="26.4" customHeight="1" x14ac:dyDescent="0.3">
      <c r="A4" s="4" t="s">
        <v>1</v>
      </c>
      <c r="B4" s="4"/>
      <c r="C4" s="4"/>
      <c r="D4" s="4"/>
      <c r="E4" s="4"/>
      <c r="F4" s="4"/>
      <c r="G4" s="4"/>
      <c r="H4" s="4"/>
      <c r="I4" s="4"/>
      <c r="J4" s="4"/>
      <c r="K4" s="4"/>
      <c r="L4" s="4"/>
      <c r="M4" s="4"/>
    </row>
    <row r="5" spans="1:13" ht="7.8" customHeight="1" x14ac:dyDescent="0.3">
      <c r="A5" s="26"/>
      <c r="B5" s="26"/>
      <c r="C5" s="26"/>
      <c r="D5" s="26"/>
      <c r="E5" s="26"/>
      <c r="F5" s="26"/>
      <c r="G5" s="26"/>
      <c r="H5" s="26"/>
      <c r="I5" s="26"/>
      <c r="J5" s="26"/>
      <c r="K5" s="26"/>
      <c r="L5" s="26"/>
      <c r="M5" s="27"/>
    </row>
    <row r="6" spans="1:13" ht="90" customHeight="1" x14ac:dyDescent="0.3">
      <c r="A6" s="21" t="s">
        <v>2</v>
      </c>
      <c r="B6" s="21" t="s">
        <v>3</v>
      </c>
      <c r="C6" s="20" t="s">
        <v>198</v>
      </c>
      <c r="D6" s="21" t="s">
        <v>192</v>
      </c>
      <c r="E6" s="21" t="s">
        <v>4</v>
      </c>
      <c r="F6" s="21" t="s">
        <v>5</v>
      </c>
      <c r="G6" s="21" t="s">
        <v>6</v>
      </c>
      <c r="H6" s="21" t="s">
        <v>7</v>
      </c>
      <c r="I6" s="21" t="s">
        <v>8</v>
      </c>
      <c r="J6" s="21" t="s">
        <v>9</v>
      </c>
      <c r="K6" s="21" t="s">
        <v>10</v>
      </c>
      <c r="L6" s="21" t="s">
        <v>11</v>
      </c>
      <c r="M6" s="21" t="s">
        <v>12</v>
      </c>
    </row>
    <row r="7" spans="1:13" ht="90" customHeight="1" x14ac:dyDescent="0.3">
      <c r="A7" s="18">
        <v>1</v>
      </c>
      <c r="B7" s="11" t="s">
        <v>13</v>
      </c>
      <c r="C7" s="25" t="s">
        <v>175</v>
      </c>
      <c r="D7" s="18" t="s">
        <v>190</v>
      </c>
      <c r="E7" s="12" t="s">
        <v>14</v>
      </c>
      <c r="F7" s="12" t="s">
        <v>15</v>
      </c>
      <c r="G7" s="12" t="s">
        <v>16</v>
      </c>
      <c r="H7" s="12" t="s">
        <v>17</v>
      </c>
      <c r="I7" s="12" t="s">
        <v>18</v>
      </c>
      <c r="J7" s="12" t="s">
        <v>164</v>
      </c>
      <c r="K7" s="12" t="s">
        <v>19</v>
      </c>
      <c r="L7" s="12" t="s">
        <v>20</v>
      </c>
      <c r="M7" s="12" t="s">
        <v>176</v>
      </c>
    </row>
    <row r="8" spans="1:13" ht="90" customHeight="1" x14ac:dyDescent="0.3">
      <c r="A8" s="19">
        <v>2</v>
      </c>
      <c r="B8" s="9" t="s">
        <v>21</v>
      </c>
      <c r="C8" s="25" t="s">
        <v>175</v>
      </c>
      <c r="D8" s="19">
        <v>1979</v>
      </c>
      <c r="E8" s="10" t="s">
        <v>22</v>
      </c>
      <c r="F8" s="10" t="s">
        <v>23</v>
      </c>
      <c r="G8" s="10" t="s">
        <v>24</v>
      </c>
      <c r="H8" s="10" t="s">
        <v>25</v>
      </c>
      <c r="I8" s="10" t="s">
        <v>26</v>
      </c>
      <c r="J8" s="10" t="s">
        <v>165</v>
      </c>
      <c r="K8" s="10" t="s">
        <v>27</v>
      </c>
      <c r="L8" s="10" t="s">
        <v>28</v>
      </c>
      <c r="M8" s="10" t="s">
        <v>177</v>
      </c>
    </row>
    <row r="9" spans="1:13" ht="90" customHeight="1" x14ac:dyDescent="0.3">
      <c r="A9" s="18">
        <v>3</v>
      </c>
      <c r="B9" s="11" t="s">
        <v>29</v>
      </c>
      <c r="C9" s="25" t="s">
        <v>183</v>
      </c>
      <c r="D9" s="18">
        <v>1999</v>
      </c>
      <c r="E9" s="12" t="s">
        <v>30</v>
      </c>
      <c r="F9" s="12" t="s">
        <v>31</v>
      </c>
      <c r="G9" s="12" t="s">
        <v>32</v>
      </c>
      <c r="H9" s="12" t="s">
        <v>33</v>
      </c>
      <c r="I9" s="12" t="s">
        <v>34</v>
      </c>
      <c r="J9" s="12" t="s">
        <v>166</v>
      </c>
      <c r="K9" s="12" t="s">
        <v>35</v>
      </c>
      <c r="L9" s="12" t="s">
        <v>36</v>
      </c>
      <c r="M9" s="12" t="s">
        <v>178</v>
      </c>
    </row>
    <row r="10" spans="1:13" ht="90" customHeight="1" x14ac:dyDescent="0.3">
      <c r="A10" s="19">
        <v>4</v>
      </c>
      <c r="B10" s="9" t="s">
        <v>37</v>
      </c>
      <c r="C10" s="25" t="s">
        <v>175</v>
      </c>
      <c r="D10" s="19" t="s">
        <v>191</v>
      </c>
      <c r="E10" s="10" t="s">
        <v>38</v>
      </c>
      <c r="F10" s="10" t="s">
        <v>39</v>
      </c>
      <c r="G10" s="10" t="s">
        <v>40</v>
      </c>
      <c r="H10" s="10" t="s">
        <v>41</v>
      </c>
      <c r="I10" s="10" t="s">
        <v>42</v>
      </c>
      <c r="J10" s="10" t="s">
        <v>167</v>
      </c>
      <c r="K10" s="10" t="s">
        <v>43</v>
      </c>
      <c r="L10" s="10" t="s">
        <v>44</v>
      </c>
      <c r="M10" s="10" t="s">
        <v>179</v>
      </c>
    </row>
    <row r="11" spans="1:13" ht="90" customHeight="1" x14ac:dyDescent="0.3">
      <c r="A11" s="18">
        <v>5</v>
      </c>
      <c r="B11" s="11" t="s">
        <v>45</v>
      </c>
      <c r="C11" s="25" t="s">
        <v>183</v>
      </c>
      <c r="D11" s="18">
        <v>2002</v>
      </c>
      <c r="E11" s="12" t="s">
        <v>46</v>
      </c>
      <c r="F11" s="12" t="s">
        <v>47</v>
      </c>
      <c r="G11" s="12" t="s">
        <v>48</v>
      </c>
      <c r="H11" s="12" t="s">
        <v>49</v>
      </c>
      <c r="I11" s="12" t="s">
        <v>50</v>
      </c>
      <c r="J11" s="12" t="s">
        <v>168</v>
      </c>
      <c r="K11" s="12" t="s">
        <v>51</v>
      </c>
      <c r="L11" s="12" t="s">
        <v>52</v>
      </c>
      <c r="M11" s="12" t="s">
        <v>180</v>
      </c>
    </row>
    <row r="12" spans="1:13" ht="90" customHeight="1" x14ac:dyDescent="0.3">
      <c r="A12" s="19">
        <v>6</v>
      </c>
      <c r="B12" s="9" t="s">
        <v>53</v>
      </c>
      <c r="C12" s="25" t="s">
        <v>183</v>
      </c>
      <c r="D12" s="19">
        <v>1995</v>
      </c>
      <c r="E12" s="10" t="s">
        <v>54</v>
      </c>
      <c r="F12" s="10" t="s">
        <v>55</v>
      </c>
      <c r="G12" s="10" t="s">
        <v>56</v>
      </c>
      <c r="H12" s="10" t="s">
        <v>57</v>
      </c>
      <c r="I12" s="10" t="s">
        <v>58</v>
      </c>
      <c r="J12" s="10" t="s">
        <v>169</v>
      </c>
      <c r="K12" s="10" t="s">
        <v>59</v>
      </c>
      <c r="L12" s="10" t="s">
        <v>60</v>
      </c>
      <c r="M12" s="10" t="s">
        <v>181</v>
      </c>
    </row>
    <row r="13" spans="1:13" ht="90" customHeight="1" x14ac:dyDescent="0.3">
      <c r="A13" s="18">
        <v>7</v>
      </c>
      <c r="B13" s="11" t="s">
        <v>61</v>
      </c>
      <c r="C13" s="25" t="s">
        <v>183</v>
      </c>
      <c r="D13" s="18">
        <v>1972</v>
      </c>
      <c r="E13" s="12" t="s">
        <v>62</v>
      </c>
      <c r="F13" s="12" t="s">
        <v>63</v>
      </c>
      <c r="G13" s="12" t="s">
        <v>64</v>
      </c>
      <c r="H13" s="12" t="s">
        <v>65</v>
      </c>
      <c r="I13" s="12" t="s">
        <v>66</v>
      </c>
      <c r="J13" s="12" t="s">
        <v>170</v>
      </c>
      <c r="K13" s="12" t="s">
        <v>67</v>
      </c>
      <c r="L13" s="12" t="s">
        <v>68</v>
      </c>
      <c r="M13" s="12" t="s">
        <v>182</v>
      </c>
    </row>
    <row r="14" spans="1:13" ht="90" customHeight="1" x14ac:dyDescent="0.3">
      <c r="A14" s="19">
        <v>8</v>
      </c>
      <c r="B14" s="9" t="s">
        <v>69</v>
      </c>
      <c r="C14" s="25" t="s">
        <v>183</v>
      </c>
      <c r="D14" s="19">
        <v>2014</v>
      </c>
      <c r="E14" s="10" t="s">
        <v>70</v>
      </c>
      <c r="F14" s="10" t="s">
        <v>71</v>
      </c>
      <c r="G14" s="10" t="s">
        <v>72</v>
      </c>
      <c r="H14" s="10" t="s">
        <v>73</v>
      </c>
      <c r="I14" s="10" t="s">
        <v>74</v>
      </c>
      <c r="J14" s="10" t="s">
        <v>171</v>
      </c>
      <c r="K14" s="10" t="s">
        <v>75</v>
      </c>
      <c r="L14" s="10" t="s">
        <v>76</v>
      </c>
      <c r="M14" s="10" t="s">
        <v>184</v>
      </c>
    </row>
    <row r="15" spans="1:13" ht="90" customHeight="1" x14ac:dyDescent="0.3">
      <c r="A15" s="18">
        <v>9</v>
      </c>
      <c r="B15" s="11" t="s">
        <v>77</v>
      </c>
      <c r="C15" s="25" t="s">
        <v>183</v>
      </c>
      <c r="D15" s="18">
        <v>2007</v>
      </c>
      <c r="E15" s="12" t="s">
        <v>193</v>
      </c>
      <c r="F15" s="12" t="s">
        <v>78</v>
      </c>
      <c r="G15" s="12" t="s">
        <v>79</v>
      </c>
      <c r="H15" s="12" t="s">
        <v>80</v>
      </c>
      <c r="I15" s="12" t="s">
        <v>81</v>
      </c>
      <c r="J15" s="12" t="s">
        <v>185</v>
      </c>
      <c r="K15" s="12" t="s">
        <v>82</v>
      </c>
      <c r="L15" s="12" t="s">
        <v>83</v>
      </c>
      <c r="M15" s="12" t="s">
        <v>186</v>
      </c>
    </row>
    <row r="16" spans="1:13" ht="90" customHeight="1" x14ac:dyDescent="0.3">
      <c r="A16" s="19">
        <v>10</v>
      </c>
      <c r="B16" s="9" t="s">
        <v>84</v>
      </c>
      <c r="C16" s="25" t="s">
        <v>183</v>
      </c>
      <c r="D16" s="19">
        <v>1987</v>
      </c>
      <c r="E16" s="10" t="s">
        <v>85</v>
      </c>
      <c r="F16" s="10" t="s">
        <v>86</v>
      </c>
      <c r="G16" s="10" t="s">
        <v>87</v>
      </c>
      <c r="H16" s="10" t="s">
        <v>88</v>
      </c>
      <c r="I16" s="10" t="s">
        <v>89</v>
      </c>
      <c r="J16" s="10" t="s">
        <v>172</v>
      </c>
      <c r="K16" s="10" t="s">
        <v>90</v>
      </c>
      <c r="L16" s="10" t="s">
        <v>91</v>
      </c>
      <c r="M16" s="10" t="s">
        <v>187</v>
      </c>
    </row>
    <row r="17" spans="1:13" ht="90" customHeight="1" x14ac:dyDescent="0.3">
      <c r="A17" s="18">
        <v>11</v>
      </c>
      <c r="B17" s="11" t="s">
        <v>92</v>
      </c>
      <c r="C17" s="25" t="s">
        <v>175</v>
      </c>
      <c r="D17" s="18">
        <v>2008</v>
      </c>
      <c r="E17" s="12" t="s">
        <v>93</v>
      </c>
      <c r="F17" s="12" t="s">
        <v>15</v>
      </c>
      <c r="G17" s="12" t="s">
        <v>94</v>
      </c>
      <c r="H17" s="12" t="s">
        <v>95</v>
      </c>
      <c r="I17" s="12" t="s">
        <v>96</v>
      </c>
      <c r="J17" s="12" t="s">
        <v>173</v>
      </c>
      <c r="K17" s="12" t="s">
        <v>97</v>
      </c>
      <c r="L17" s="12" t="s">
        <v>98</v>
      </c>
      <c r="M17" s="12" t="s">
        <v>188</v>
      </c>
    </row>
    <row r="18" spans="1:13" ht="159.6" x14ac:dyDescent="0.3">
      <c r="A18" s="19">
        <v>12</v>
      </c>
      <c r="B18" s="9" t="s">
        <v>99</v>
      </c>
      <c r="C18" s="25" t="s">
        <v>183</v>
      </c>
      <c r="D18" s="19">
        <v>2000</v>
      </c>
      <c r="E18" s="10" t="s">
        <v>100</v>
      </c>
      <c r="F18" s="10" t="s">
        <v>63</v>
      </c>
      <c r="G18" s="10" t="s">
        <v>101</v>
      </c>
      <c r="H18" s="10" t="s">
        <v>102</v>
      </c>
      <c r="I18" s="10" t="s">
        <v>103</v>
      </c>
      <c r="J18" s="10" t="s">
        <v>174</v>
      </c>
      <c r="K18" s="10" t="s">
        <v>104</v>
      </c>
      <c r="L18" s="10" t="s">
        <v>105</v>
      </c>
      <c r="M18" s="10" t="s">
        <v>189</v>
      </c>
    </row>
  </sheetData>
  <mergeCells count="5">
    <mergeCell ref="A5:M5"/>
    <mergeCell ref="A3:M3"/>
    <mergeCell ref="A1:M1"/>
    <mergeCell ref="A2:M2"/>
    <mergeCell ref="A4:M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9"/>
  <sheetViews>
    <sheetView showGridLines="0" tabSelected="1" zoomScaleNormal="100" workbookViewId="0">
      <selection activeCell="E14" sqref="E14"/>
    </sheetView>
  </sheetViews>
  <sheetFormatPr defaultColWidth="8.6640625" defaultRowHeight="14.4" x14ac:dyDescent="0.3"/>
  <cols>
    <col min="1" max="1" width="26" customWidth="1"/>
    <col min="2" max="2" width="78" customWidth="1"/>
  </cols>
  <sheetData>
    <row r="1" spans="1:2" ht="31.5" customHeight="1" x14ac:dyDescent="0.3">
      <c r="A1" s="3" t="s">
        <v>106</v>
      </c>
      <c r="B1" s="3"/>
    </row>
    <row r="2" spans="1:2" ht="18" customHeight="1" x14ac:dyDescent="0.3">
      <c r="A2" s="4" t="s">
        <v>107</v>
      </c>
      <c r="B2" s="4"/>
    </row>
    <row r="3" spans="1:2" ht="21.75" customHeight="1" x14ac:dyDescent="0.3">
      <c r="A3" s="5" t="s">
        <v>108</v>
      </c>
      <c r="B3" s="5" t="s">
        <v>109</v>
      </c>
    </row>
    <row r="4" spans="1:2" ht="19.5" customHeight="1" x14ac:dyDescent="0.3">
      <c r="A4" s="7" t="s">
        <v>110</v>
      </c>
      <c r="B4" s="8"/>
    </row>
    <row r="5" spans="1:2" ht="51.75" customHeight="1" x14ac:dyDescent="0.3">
      <c r="A5" s="9" t="s">
        <v>111</v>
      </c>
      <c r="B5" s="10" t="s">
        <v>112</v>
      </c>
    </row>
    <row r="6" spans="1:2" ht="51.75" customHeight="1" x14ac:dyDescent="0.3">
      <c r="A6" s="11" t="s">
        <v>113</v>
      </c>
      <c r="B6" s="12" t="s">
        <v>114</v>
      </c>
    </row>
    <row r="7" spans="1:2" ht="51.75" customHeight="1" x14ac:dyDescent="0.3">
      <c r="A7" s="9" t="s">
        <v>115</v>
      </c>
      <c r="B7" s="10" t="s">
        <v>116</v>
      </c>
    </row>
    <row r="8" spans="1:2" ht="51.75" customHeight="1" x14ac:dyDescent="0.3">
      <c r="A8" s="11" t="s">
        <v>117</v>
      </c>
      <c r="B8" s="12" t="s">
        <v>118</v>
      </c>
    </row>
    <row r="9" spans="1:2" ht="51.75" customHeight="1" x14ac:dyDescent="0.3">
      <c r="A9" s="9" t="s">
        <v>119</v>
      </c>
      <c r="B9" s="10" t="s">
        <v>120</v>
      </c>
    </row>
    <row r="10" spans="1:2" ht="51.75" customHeight="1" x14ac:dyDescent="0.3">
      <c r="A10" s="11" t="s">
        <v>121</v>
      </c>
      <c r="B10" s="12" t="s">
        <v>122</v>
      </c>
    </row>
    <row r="11" spans="1:2" ht="19.5" customHeight="1" x14ac:dyDescent="0.3">
      <c r="A11" s="7" t="s">
        <v>123</v>
      </c>
      <c r="B11" s="8"/>
    </row>
    <row r="12" spans="1:2" ht="51.75" customHeight="1" x14ac:dyDescent="0.3">
      <c r="A12" s="11" t="s">
        <v>124</v>
      </c>
      <c r="B12" s="12" t="s">
        <v>125</v>
      </c>
    </row>
    <row r="13" spans="1:2" ht="51.75" customHeight="1" x14ac:dyDescent="0.3">
      <c r="A13" s="9" t="s">
        <v>126</v>
      </c>
      <c r="B13" s="10" t="s">
        <v>127</v>
      </c>
    </row>
    <row r="14" spans="1:2" ht="51.75" customHeight="1" x14ac:dyDescent="0.3">
      <c r="A14" s="11" t="s">
        <v>128</v>
      </c>
      <c r="B14" s="12" t="s">
        <v>129</v>
      </c>
    </row>
    <row r="15" spans="1:2" ht="51.75" customHeight="1" x14ac:dyDescent="0.3">
      <c r="A15" s="9" t="s">
        <v>130</v>
      </c>
      <c r="B15" s="10" t="s">
        <v>131</v>
      </c>
    </row>
    <row r="16" spans="1:2" ht="19.5" customHeight="1" x14ac:dyDescent="0.3">
      <c r="A16" s="7" t="s">
        <v>132</v>
      </c>
      <c r="B16" s="8"/>
    </row>
    <row r="17" spans="1:2" ht="51.75" customHeight="1" x14ac:dyDescent="0.3">
      <c r="A17" s="9" t="s">
        <v>133</v>
      </c>
      <c r="B17" s="10" t="s">
        <v>134</v>
      </c>
    </row>
    <row r="18" spans="1:2" ht="51.75" customHeight="1" x14ac:dyDescent="0.3">
      <c r="A18" s="11" t="s">
        <v>135</v>
      </c>
      <c r="B18" s="12" t="s">
        <v>136</v>
      </c>
    </row>
    <row r="19" spans="1:2" ht="51.75" customHeight="1" x14ac:dyDescent="0.3">
      <c r="A19" s="9" t="s">
        <v>137</v>
      </c>
      <c r="B19" s="10" t="s">
        <v>138</v>
      </c>
    </row>
    <row r="20" spans="1:2" ht="51.75" customHeight="1" x14ac:dyDescent="0.3">
      <c r="A20" s="11" t="s">
        <v>139</v>
      </c>
      <c r="B20" s="12" t="s">
        <v>140</v>
      </c>
    </row>
    <row r="21" spans="1:2" ht="19.5" customHeight="1" x14ac:dyDescent="0.3">
      <c r="A21" s="7" t="s">
        <v>141</v>
      </c>
      <c r="B21" s="8"/>
    </row>
    <row r="22" spans="1:2" ht="51.75" customHeight="1" x14ac:dyDescent="0.3">
      <c r="A22" s="13" t="s">
        <v>142</v>
      </c>
      <c r="B22" s="12" t="s">
        <v>143</v>
      </c>
    </row>
    <row r="23" spans="1:2" ht="51.75" customHeight="1" x14ac:dyDescent="0.3">
      <c r="A23" s="13" t="s">
        <v>144</v>
      </c>
      <c r="B23" s="12" t="s">
        <v>145</v>
      </c>
    </row>
    <row r="24" spans="1:2" ht="51.75" customHeight="1" x14ac:dyDescent="0.3">
      <c r="A24" s="13" t="s">
        <v>146</v>
      </c>
      <c r="B24" s="12" t="s">
        <v>147</v>
      </c>
    </row>
    <row r="25" spans="1:2" ht="51.75" customHeight="1" x14ac:dyDescent="0.3">
      <c r="A25" s="13" t="s">
        <v>148</v>
      </c>
      <c r="B25" s="12" t="s">
        <v>149</v>
      </c>
    </row>
    <row r="26" spans="1:2" ht="51.75" customHeight="1" x14ac:dyDescent="0.3">
      <c r="A26" s="13" t="s">
        <v>150</v>
      </c>
      <c r="B26" s="12" t="s">
        <v>151</v>
      </c>
    </row>
    <row r="27" spans="1:2" ht="51.75" customHeight="1" x14ac:dyDescent="0.3">
      <c r="A27" s="13" t="s">
        <v>152</v>
      </c>
      <c r="B27" s="12" t="s">
        <v>153</v>
      </c>
    </row>
    <row r="28" spans="1:2" ht="19.2" customHeight="1" x14ac:dyDescent="0.3">
      <c r="A28" s="6" t="s">
        <v>195</v>
      </c>
      <c r="B28" s="6"/>
    </row>
    <row r="29" spans="1:2" s="2" customFormat="1" ht="43.8" customHeight="1" x14ac:dyDescent="0.3">
      <c r="A29" s="14" t="s">
        <v>196</v>
      </c>
      <c r="B29" s="14"/>
    </row>
  </sheetData>
  <mergeCells count="8">
    <mergeCell ref="A1:B1"/>
    <mergeCell ref="A2:B2"/>
    <mergeCell ref="A28:B28"/>
    <mergeCell ref="A29:B29"/>
    <mergeCell ref="A4:B4"/>
    <mergeCell ref="A11:B11"/>
    <mergeCell ref="A16:B16"/>
    <mergeCell ref="A21:B2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showGridLines="0" zoomScaleNormal="100" workbookViewId="0">
      <selection activeCell="C13" sqref="C13"/>
    </sheetView>
  </sheetViews>
  <sheetFormatPr defaultColWidth="8.6640625" defaultRowHeight="14.4" x14ac:dyDescent="0.3"/>
  <cols>
    <col min="1" max="1" width="32" customWidth="1"/>
    <col min="2" max="2" width="26.44140625" customWidth="1"/>
    <col min="3" max="3" width="36" customWidth="1"/>
  </cols>
  <sheetData>
    <row r="1" spans="1:3" ht="27.75" customHeight="1" x14ac:dyDescent="0.3">
      <c r="A1" s="29" t="s">
        <v>154</v>
      </c>
      <c r="B1" s="29"/>
      <c r="C1" s="29"/>
    </row>
    <row r="2" spans="1:3" ht="21.75" customHeight="1" x14ac:dyDescent="0.3">
      <c r="A2" s="5" t="s">
        <v>5</v>
      </c>
      <c r="B2" s="5" t="s">
        <v>155</v>
      </c>
      <c r="C2" s="5" t="s">
        <v>156</v>
      </c>
    </row>
    <row r="3" spans="1:3" ht="21.75" customHeight="1" x14ac:dyDescent="0.3">
      <c r="A3" s="30" t="s">
        <v>15</v>
      </c>
      <c r="B3" s="31">
        <v>5</v>
      </c>
      <c r="C3" s="32" t="s">
        <v>157</v>
      </c>
    </row>
    <row r="4" spans="1:3" ht="21.75" customHeight="1" x14ac:dyDescent="0.3">
      <c r="A4" s="33" t="s">
        <v>63</v>
      </c>
      <c r="B4" s="34">
        <v>3</v>
      </c>
      <c r="C4" s="35" t="s">
        <v>158</v>
      </c>
    </row>
    <row r="5" spans="1:3" ht="21.75" customHeight="1" x14ac:dyDescent="0.3">
      <c r="A5" s="30" t="s">
        <v>78</v>
      </c>
      <c r="B5" s="31">
        <v>2</v>
      </c>
      <c r="C5" s="32" t="s">
        <v>159</v>
      </c>
    </row>
    <row r="6" spans="1:3" ht="21.75" customHeight="1" x14ac:dyDescent="0.3">
      <c r="A6" s="33" t="s">
        <v>55</v>
      </c>
      <c r="B6" s="34">
        <v>1</v>
      </c>
      <c r="C6" s="35" t="s">
        <v>53</v>
      </c>
    </row>
    <row r="7" spans="1:3" ht="21.75" customHeight="1" x14ac:dyDescent="0.3">
      <c r="A7" s="30" t="s">
        <v>86</v>
      </c>
      <c r="B7" s="31">
        <v>1</v>
      </c>
      <c r="C7" s="32" t="s">
        <v>84</v>
      </c>
    </row>
    <row r="8" spans="1:3" ht="21.75" customHeight="1" x14ac:dyDescent="0.3">
      <c r="A8" s="33" t="s">
        <v>160</v>
      </c>
      <c r="B8" s="34">
        <v>1</v>
      </c>
      <c r="C8" s="35" t="s">
        <v>69</v>
      </c>
    </row>
    <row r="9" spans="1:3" ht="21.75" customHeight="1" x14ac:dyDescent="0.3">
      <c r="A9" s="30" t="s">
        <v>31</v>
      </c>
      <c r="B9" s="31">
        <v>1</v>
      </c>
      <c r="C9" s="32" t="s">
        <v>29</v>
      </c>
    </row>
    <row r="10" spans="1:3" ht="21.75" customHeight="1" x14ac:dyDescent="0.3">
      <c r="A10" s="36" t="s">
        <v>161</v>
      </c>
      <c r="B10" s="37">
        <f>SUM(B3:B9)</f>
        <v>14</v>
      </c>
      <c r="C10" s="38" t="s">
        <v>162</v>
      </c>
    </row>
    <row r="12" spans="1:3" x14ac:dyDescent="0.3">
      <c r="A12" s="1" t="s">
        <v>163</v>
      </c>
      <c r="B12" s="1"/>
      <c r="C12" s="1"/>
    </row>
  </sheetData>
  <mergeCells count="2">
    <mergeCell ref="A1:C1"/>
    <mergeCell ref="A12:C1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1AB98-D118-44EE-9C12-F14383BDEB49}">
  <dimension ref="A1"/>
  <sheetViews>
    <sheetView workbookViewId="0"/>
  </sheetViews>
  <sheetFormatPr defaultRowHeight="14.4" x14ac:dyDescent="0.3"/>
  <cols>
    <col min="1" max="1" width="91.5546875" customWidth="1"/>
  </cols>
  <sheetData>
    <row r="1" spans="1:1" s="15" customFormat="1" ht="103.2" customHeight="1" x14ac:dyDescent="0.3">
      <c r="A1" s="28" t="s">
        <v>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NGO Database</vt:lpstr>
      <vt:lpstr>Bonus Analysis</vt:lpstr>
      <vt:lpstr>Sector Summary</vt:lpstr>
      <vt:lpstr>Conclusion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KAVI ARASU G</cp:lastModifiedBy>
  <cp:revision>0</cp:revision>
  <dcterms:created xsi:type="dcterms:W3CDTF">2026-06-09T15:07:34Z</dcterms:created>
  <dcterms:modified xsi:type="dcterms:W3CDTF">2026-06-09T17:09:30Z</dcterms:modified>
  <dc:language>en-US</dc:language>
</cp:coreProperties>
</file>